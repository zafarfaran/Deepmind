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eepmind\"/>
    </mc:Choice>
  </mc:AlternateContent>
  <xr:revisionPtr revIDLastSave="0" documentId="13_ncr:1_{19264F75-C1F9-49A3-AD61-9C5117AB6850}" xr6:coauthVersionLast="47" xr6:coauthVersionMax="47" xr10:uidLastSave="{00000000-0000-0000-0000-000000000000}"/>
  <bookViews>
    <workbookView minimized="1" xWindow="6570" yWindow="2760" windowWidth="10020" windowHeight="11295" xr2:uid="{00000000-000D-0000-FFFF-FFFF00000000}"/>
  </bookViews>
  <sheets>
    <sheet name="Non staff expense form" sheetId="1" r:id="rId1"/>
    <sheet name="Translator" sheetId="6" state="hidden" r:id="rId2"/>
    <sheet name="Dropdown menu" sheetId="5" state="hidden" r:id="rId3"/>
  </sheets>
  <definedNames>
    <definedName name="Exp_Type">#REF!</definedName>
    <definedName name="Expenditure_Type">#REF!</definedName>
    <definedName name="ExpTypes">#REF!</definedName>
    <definedName name="_xlnm.Print_Area" localSheetId="0">'Non staff expense form'!$A$1:$AS$95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6" l="1"/>
  <c r="F34" i="6" a="1"/>
  <c r="F34" i="6" s="1"/>
  <c r="V34" i="6" a="1"/>
  <c r="V34" i="6" s="1"/>
  <c r="AB34" i="6" a="1"/>
  <c r="AB34" i="6" s="1"/>
  <c r="AG34" i="6" a="1"/>
  <c r="AG34" i="6" s="1"/>
  <c r="AS34" i="6" a="1"/>
  <c r="AS34" i="6" s="1"/>
  <c r="C35" i="6"/>
  <c r="F35" i="6" a="1"/>
  <c r="F35" i="6" s="1"/>
  <c r="V35" i="6" a="1"/>
  <c r="V35" i="6" s="1"/>
  <c r="AB35" i="6" a="1"/>
  <c r="AB35" i="6" s="1"/>
  <c r="AG35" i="6" a="1"/>
  <c r="AG35" i="6" s="1"/>
  <c r="AS35" i="6" a="1"/>
  <c r="AS35" i="6" s="1"/>
  <c r="C36" i="6"/>
  <c r="F36" i="6" a="1"/>
  <c r="F36" i="6" s="1"/>
  <c r="V36" i="6" a="1"/>
  <c r="V36" i="6" s="1"/>
  <c r="AB36" i="6" a="1"/>
  <c r="AB36" i="6" s="1"/>
  <c r="AG36" i="6" a="1"/>
  <c r="AG36" i="6" s="1"/>
  <c r="AS36" i="6" a="1"/>
  <c r="AS36" i="6" s="1"/>
  <c r="C37" i="6"/>
  <c r="F37" i="6" a="1"/>
  <c r="F37" i="6" s="1"/>
  <c r="V37" i="6" a="1"/>
  <c r="V37" i="6" s="1"/>
  <c r="AB37" i="6" a="1"/>
  <c r="AB37" i="6" s="1"/>
  <c r="AG37" i="6" a="1"/>
  <c r="AG37" i="6" s="1"/>
  <c r="AS37" i="6" a="1"/>
  <c r="AS37" i="6" s="1"/>
  <c r="C38" i="6"/>
  <c r="F38" i="6" a="1"/>
  <c r="F38" i="6" s="1"/>
  <c r="V38" i="6" a="1"/>
  <c r="V38" i="6" s="1"/>
  <c r="AB38" i="6" a="1"/>
  <c r="AB38" i="6" s="1"/>
  <c r="AG38" i="6" a="1"/>
  <c r="AG38" i="6" s="1"/>
  <c r="AS38" i="6" a="1"/>
  <c r="AS38" i="6" s="1"/>
  <c r="C39" i="6"/>
  <c r="F39" i="6" a="1"/>
  <c r="F39" i="6" s="1"/>
  <c r="V39" i="6" a="1"/>
  <c r="V39" i="6" s="1"/>
  <c r="AB39" i="6" a="1"/>
  <c r="AB39" i="6" s="1"/>
  <c r="AG39" i="6" a="1"/>
  <c r="AG39" i="6" s="1"/>
  <c r="AS39" i="6" a="1"/>
  <c r="AS39" i="6" s="1"/>
  <c r="C40" i="6"/>
  <c r="F40" i="6" a="1"/>
  <c r="F40" i="6" s="1"/>
  <c r="V40" i="6" a="1"/>
  <c r="V40" i="6" s="1"/>
  <c r="AB40" i="6" a="1"/>
  <c r="AB40" i="6" s="1"/>
  <c r="AG40" i="6" a="1"/>
  <c r="AG40" i="6" s="1"/>
  <c r="AS40" i="6" a="1"/>
  <c r="AS40" i="6" s="1"/>
  <c r="C41" i="6"/>
  <c r="F41" i="6" a="1"/>
  <c r="F41" i="6" s="1"/>
  <c r="V41" i="6" a="1"/>
  <c r="V41" i="6" s="1"/>
  <c r="AB41" i="6" a="1"/>
  <c r="AB41" i="6" s="1"/>
  <c r="AG41" i="6" a="1"/>
  <c r="AG41" i="6"/>
  <c r="AS41" i="6" a="1"/>
  <c r="AS41" i="6" s="1"/>
  <c r="C42" i="6"/>
  <c r="F42" i="6" a="1"/>
  <c r="F42" i="6" s="1"/>
  <c r="V42" i="6" a="1"/>
  <c r="V42" i="6" s="1"/>
  <c r="AB42" i="6" a="1"/>
  <c r="AB42" i="6" s="1"/>
  <c r="AG42" i="6" a="1"/>
  <c r="AG42" i="6" s="1"/>
  <c r="AS42" i="6" a="1"/>
  <c r="AS42" i="6" s="1"/>
  <c r="C43" i="6"/>
  <c r="F43" i="6" a="1"/>
  <c r="F43" i="6" s="1"/>
  <c r="V43" i="6" a="1"/>
  <c r="V43" i="6" s="1"/>
  <c r="AB43" i="6" a="1"/>
  <c r="AB43" i="6" s="1"/>
  <c r="AG43" i="6" a="1"/>
  <c r="AG43" i="6" s="1"/>
  <c r="AS43" i="6" a="1"/>
  <c r="AS43" i="6" s="1"/>
  <c r="C44" i="6"/>
  <c r="F44" i="6" a="1"/>
  <c r="F44" i="6" s="1"/>
  <c r="V44" i="6" a="1"/>
  <c r="V44" i="6" s="1"/>
  <c r="AB44" i="6" a="1"/>
  <c r="AB44" i="6" s="1"/>
  <c r="AG44" i="6" a="1"/>
  <c r="AG44" i="6" s="1"/>
  <c r="AS44" i="6" a="1"/>
  <c r="AS44" i="6" s="1"/>
  <c r="C45" i="6"/>
  <c r="F45" i="6" a="1"/>
  <c r="F45" i="6" s="1"/>
  <c r="V45" i="6" a="1"/>
  <c r="V45" i="6" s="1"/>
  <c r="AB45" i="6" a="1"/>
  <c r="AB45" i="6" s="1"/>
  <c r="AG45" i="6" a="1"/>
  <c r="AG45" i="6" s="1"/>
  <c r="AS45" i="6" a="1"/>
  <c r="AS45" i="6" s="1"/>
  <c r="C46" i="6"/>
  <c r="F46" i="6" a="1"/>
  <c r="F46" i="6" s="1"/>
  <c r="V46" i="6" a="1"/>
  <c r="V46" i="6" s="1"/>
  <c r="AB46" i="6" a="1"/>
  <c r="AB46" i="6" s="1"/>
  <c r="AG46" i="6" a="1"/>
  <c r="AG46" i="6" s="1"/>
  <c r="AS46" i="6" a="1"/>
  <c r="AS46" i="6" s="1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7" i="6" a="1"/>
  <c r="B7" i="6" s="1"/>
  <c r="B8" i="6" a="1"/>
  <c r="B8" i="6" s="1"/>
  <c r="B65" i="6" a="1"/>
  <c r="B65" i="6" s="1"/>
  <c r="C78" i="1"/>
  <c r="C82" i="1" s="1"/>
  <c r="B57" i="6" a="1"/>
  <c r="B57" i="6" s="1"/>
  <c r="B51" i="6" a="1"/>
  <c r="B51" i="6" s="1"/>
  <c r="B6" i="6" a="1"/>
  <c r="B6" i="6" s="1"/>
  <c r="B4" i="6" a="1"/>
  <c r="B4" i="6" s="1"/>
  <c r="B3" i="6" a="1"/>
  <c r="B3" i="6" s="1"/>
  <c r="C33" i="6"/>
  <c r="C32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13" i="6"/>
  <c r="B33" i="6"/>
  <c r="B32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13" i="6"/>
  <c r="V33" i="6" a="1"/>
  <c r="V33" i="6" s="1"/>
  <c r="AB33" i="6" a="1"/>
  <c r="AB33" i="6" s="1"/>
  <c r="AG33" i="6" a="1"/>
  <c r="AG33" i="6" s="1"/>
  <c r="AS33" i="6" a="1"/>
  <c r="AS33" i="6" s="1"/>
  <c r="AS32" i="6" a="1"/>
  <c r="AS32" i="6" s="1"/>
  <c r="AG32" i="6" a="1"/>
  <c r="AG32" i="6" s="1"/>
  <c r="AB32" i="6" a="1"/>
  <c r="AB32" i="6" s="1"/>
  <c r="V32" i="6" a="1"/>
  <c r="V32" i="6" s="1"/>
  <c r="F33" i="6" a="1"/>
  <c r="F33" i="6" s="1"/>
  <c r="F32" i="6" a="1"/>
  <c r="F32" i="6" s="1"/>
  <c r="B59" i="6" a="1"/>
  <c r="B59" i="6" s="1"/>
  <c r="B60" i="6" a="1"/>
  <c r="B60" i="6" s="1"/>
  <c r="B61" i="6" a="1"/>
  <c r="B61" i="6" s="1"/>
  <c r="B62" i="6" a="1"/>
  <c r="B62" i="6" s="1"/>
  <c r="B63" i="6" a="1"/>
  <c r="B63" i="6" s="1"/>
  <c r="B58" i="6" a="1"/>
  <c r="B58" i="6" s="1"/>
  <c r="B52" i="6" a="1"/>
  <c r="B52" i="6" s="1"/>
  <c r="B5" i="6" a="1"/>
  <c r="B5" i="6" s="1"/>
  <c r="AS5" i="6" s="1"/>
  <c r="F26" i="6" a="1"/>
  <c r="F26" i="6" s="1"/>
  <c r="V26" i="6" a="1"/>
  <c r="V26" i="6" s="1"/>
  <c r="F27" i="6" a="1"/>
  <c r="F27" i="6" s="1"/>
  <c r="V27" i="6" a="1"/>
  <c r="V27" i="6" s="1"/>
  <c r="F15" i="6" a="1"/>
  <c r="F15" i="6" s="1"/>
  <c r="V15" i="6" a="1"/>
  <c r="V15" i="6" s="1"/>
  <c r="F16" i="6" a="1"/>
  <c r="F16" i="6" s="1"/>
  <c r="V16" i="6" a="1"/>
  <c r="V16" i="6" s="1"/>
  <c r="F17" i="6" a="1"/>
  <c r="F17" i="6" s="1"/>
  <c r="V17" i="6" a="1"/>
  <c r="V17" i="6" s="1"/>
  <c r="F18" i="6" a="1"/>
  <c r="F18" i="6" s="1"/>
  <c r="V18" i="6" a="1"/>
  <c r="V18" i="6" s="1"/>
  <c r="F19" i="6" a="1"/>
  <c r="F19" i="6" s="1"/>
  <c r="V19" i="6" a="1"/>
  <c r="V19" i="6" s="1"/>
  <c r="F20" i="6" a="1"/>
  <c r="F20" i="6" s="1"/>
  <c r="V20" i="6" a="1"/>
  <c r="V20" i="6" s="1"/>
  <c r="F21" i="6" a="1"/>
  <c r="F21" i="6" s="1"/>
  <c r="V21" i="6" a="1"/>
  <c r="V21" i="6" s="1"/>
  <c r="F22" i="6" a="1"/>
  <c r="F22" i="6" s="1"/>
  <c r="V22" i="6" a="1"/>
  <c r="V22" i="6" s="1"/>
  <c r="F23" i="6" a="1"/>
  <c r="F23" i="6" s="1"/>
  <c r="V23" i="6" a="1"/>
  <c r="V23" i="6" s="1"/>
  <c r="F24" i="6" a="1"/>
  <c r="F24" i="6" s="1"/>
  <c r="V24" i="6" a="1"/>
  <c r="V24" i="6" s="1"/>
  <c r="F25" i="6" a="1"/>
  <c r="F25" i="6" s="1"/>
  <c r="V25" i="6" a="1"/>
  <c r="V25" i="6" s="1"/>
  <c r="B53" i="6" a="1"/>
  <c r="B53" i="6" s="1"/>
  <c r="V14" i="6" a="1"/>
  <c r="V14" i="6" s="1"/>
  <c r="V13" i="6" a="1"/>
  <c r="V13" i="6" s="1"/>
  <c r="F14" i="6" a="1"/>
  <c r="F14" i="6" s="1"/>
  <c r="F13" i="6" a="1"/>
  <c r="F13" i="6" s="1"/>
  <c r="B2" i="6" l="1" a="1"/>
  <c r="B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Lavella (Transaction Services)</author>
  </authors>
  <commentList>
    <comment ref="A12" authorId="0" shapeId="0" xr:uid="{CCBDAAB5-7A9E-4C41-99A1-66EE75A6B3FC}">
      <text>
        <r>
          <rPr>
            <b/>
            <sz val="14"/>
            <color indexed="81"/>
            <rFont val="Tahoma"/>
            <family val="2"/>
          </rPr>
          <t>Brief description of the purpose of the claim</t>
        </r>
      </text>
    </comment>
    <comment ref="A32" authorId="0" shapeId="0" xr:uid="{28A05D4F-F509-4DF5-8297-A53C8D76257E}">
      <text>
        <r>
          <rPr>
            <b/>
            <sz val="14"/>
            <color indexed="81"/>
            <rFont val="Tahoma"/>
            <family val="2"/>
          </rPr>
          <t>IFSC code is only required for INDIA payments
BSB code is only required for AUSTRALIA payments</t>
        </r>
      </text>
    </comment>
    <comment ref="A33" authorId="0" shapeId="0" xr:uid="{CA913ECA-140F-403D-82E1-BDED5D1947B8}">
      <text>
        <r>
          <rPr>
            <b/>
            <sz val="14"/>
            <color indexed="81"/>
            <rFont val="Tahoma"/>
            <family val="2"/>
          </rPr>
          <t>INSTITUTION number is only required for CANADA payments</t>
        </r>
      </text>
    </comment>
    <comment ref="AA33" authorId="0" shapeId="0" xr:uid="{C0B142A6-8998-4267-99ED-D368902D2692}">
      <text>
        <r>
          <rPr>
            <b/>
            <sz val="14"/>
            <color indexed="81"/>
            <rFont val="Tahoma"/>
            <family val="2"/>
          </rPr>
          <t>TRANSIT number is only required for CANADA payments</t>
        </r>
      </text>
    </comment>
    <comment ref="A34" authorId="0" shapeId="0" xr:uid="{1B846806-EB90-4567-B542-AEEC360A3595}">
      <text>
        <r>
          <rPr>
            <b/>
            <sz val="14"/>
            <color indexed="81"/>
            <rFont val="Tahoma"/>
            <family val="2"/>
          </rPr>
          <t>ABA ROUTING NUMBER is only required for US payments</t>
        </r>
      </text>
    </comment>
    <comment ref="AR41" authorId="0" shapeId="0" xr:uid="{DA69C8CE-E9B8-44F8-BF2B-B1CB84942813}">
      <text>
        <r>
          <rPr>
            <b/>
            <sz val="11"/>
            <color indexed="81"/>
            <rFont val="Tahoma"/>
            <family val="2"/>
          </rPr>
          <t>Select a currency from the dropdown list</t>
        </r>
      </text>
    </comment>
    <comment ref="A58" authorId="0" shapeId="0" xr:uid="{C30DE9A3-38FF-4CB6-B459-F624A29E822B}">
      <text>
        <r>
          <rPr>
            <b/>
            <sz val="14"/>
            <color indexed="81"/>
            <rFont val="Tahoma"/>
            <family val="2"/>
          </rPr>
          <t>Any expenses charged directly to a Project number will not require the above section above section to be completed</t>
        </r>
      </text>
    </comment>
    <comment ref="V58" authorId="0" shapeId="0" xr:uid="{61012241-5461-41DF-8948-D73FCC74D896}">
      <text>
        <r>
          <rPr>
            <b/>
            <sz val="11"/>
            <color indexed="81"/>
            <rFont val="Tahoma"/>
            <family val="2"/>
          </rPr>
          <t>Select a expenditure type from the dropdown list</t>
        </r>
      </text>
    </comment>
    <comment ref="AH58" authorId="0" shapeId="0" xr:uid="{F33C6D6A-504D-419B-B1E7-D9719796D58F}">
      <text>
        <r>
          <rPr>
            <b/>
            <sz val="11"/>
            <color indexed="81"/>
            <rFont val="Tahoma"/>
            <family val="2"/>
          </rPr>
          <t>Select a Organization from the dropdown list</t>
        </r>
      </text>
    </comment>
    <comment ref="AR58" authorId="0" shapeId="0" xr:uid="{A9FDDDC6-5377-45B5-BFDA-8BB2860ED304}">
      <text>
        <r>
          <rPr>
            <b/>
            <sz val="11"/>
            <color indexed="81"/>
            <rFont val="Tahoma"/>
            <family val="2"/>
          </rPr>
          <t>Select a currency from the dropdown list</t>
        </r>
      </text>
    </comment>
    <comment ref="A86" authorId="0" shapeId="0" xr:uid="{F4243459-E7A0-47D2-8997-028459AFA413}">
      <text>
        <r>
          <rPr>
            <b/>
            <sz val="14"/>
            <color indexed="81"/>
            <rFont val="Tahoma"/>
            <family val="2"/>
          </rPr>
          <t>Choose a currency from the dropdown menu. Please be aware that the University will only reimburse non-staff expenses in one of the specified currencies.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<sst xmlns="http://schemas.openxmlformats.org/spreadsheetml/2006/main" count="400" uniqueCount="337">
  <si>
    <t>Company</t>
  </si>
  <si>
    <t>Analysis</t>
  </si>
  <si>
    <t>Cost Centre</t>
  </si>
  <si>
    <t>Activity</t>
  </si>
  <si>
    <t>Source of 
Funds</t>
  </si>
  <si>
    <t>Project 
Number</t>
  </si>
  <si>
    <t>Task 
Number</t>
  </si>
  <si>
    <t>Expenditure Type</t>
  </si>
  <si>
    <t>Expense Description</t>
  </si>
  <si>
    <t>GBP</t>
  </si>
  <si>
    <t>USD</t>
  </si>
  <si>
    <t>AED</t>
  </si>
  <si>
    <t>EUR</t>
  </si>
  <si>
    <t>PLN</t>
  </si>
  <si>
    <t>NOK</t>
  </si>
  <si>
    <t>CHF</t>
  </si>
  <si>
    <t>GL</t>
  </si>
  <si>
    <t>Amount</t>
  </si>
  <si>
    <t xml:space="preserve">Non-Staff Expenses Form </t>
  </si>
  <si>
    <r>
      <rPr>
        <b/>
        <sz val="16"/>
        <rFont val="Arial"/>
        <family val="2"/>
      </rPr>
      <t xml:space="preserve">FIRST NAME </t>
    </r>
    <r>
      <rPr>
        <b/>
        <sz val="16"/>
        <color rgb="FFFF0000"/>
        <rFont val="Arial"/>
        <family val="2"/>
      </rPr>
      <t>*</t>
    </r>
  </si>
  <si>
    <r>
      <rPr>
        <b/>
        <sz val="16"/>
        <rFont val="Arial"/>
        <family val="2"/>
      </rPr>
      <t xml:space="preserve">LAST NAME </t>
    </r>
    <r>
      <rPr>
        <b/>
        <sz val="16"/>
        <color rgb="FFFF0000"/>
        <rFont val="Arial"/>
        <family val="2"/>
      </rPr>
      <t>*</t>
    </r>
  </si>
  <si>
    <r>
      <t xml:space="preserve">DATE </t>
    </r>
    <r>
      <rPr>
        <b/>
        <sz val="16"/>
        <color rgb="FFFF0000"/>
        <rFont val="Arial"/>
        <family val="2"/>
      </rPr>
      <t>*</t>
    </r>
  </si>
  <si>
    <r>
      <t xml:space="preserve">TELEPHONE NUMBER </t>
    </r>
    <r>
      <rPr>
        <b/>
        <sz val="16"/>
        <color rgb="FFFF0000"/>
        <rFont val="Arial"/>
        <family val="2"/>
      </rPr>
      <t>*</t>
    </r>
  </si>
  <si>
    <r>
      <t xml:space="preserve">EMAIL ADDRESS </t>
    </r>
    <r>
      <rPr>
        <b/>
        <sz val="16"/>
        <color rgb="FFFF0000"/>
        <rFont val="Arial"/>
        <family val="2"/>
      </rPr>
      <t>*</t>
    </r>
  </si>
  <si>
    <r>
      <rPr>
        <b/>
        <sz val="16"/>
        <rFont val="Arial"/>
        <family val="2"/>
      </rPr>
      <t>BANK NAME</t>
    </r>
    <r>
      <rPr>
        <b/>
        <sz val="16"/>
        <color rgb="FFFF0000"/>
        <rFont val="Arial"/>
        <family val="2"/>
      </rPr>
      <t xml:space="preserve"> *</t>
    </r>
  </si>
  <si>
    <r>
      <t xml:space="preserve">COUNTRY </t>
    </r>
    <r>
      <rPr>
        <b/>
        <sz val="16"/>
        <color rgb="FFFF0000"/>
        <rFont val="Arial"/>
        <family val="2"/>
      </rPr>
      <t>*</t>
    </r>
  </si>
  <si>
    <r>
      <t xml:space="preserve">BANK NAME </t>
    </r>
    <r>
      <rPr>
        <b/>
        <sz val="16"/>
        <color rgb="FFFF0000"/>
        <rFont val="Arial"/>
        <family val="2"/>
      </rPr>
      <t>*</t>
    </r>
  </si>
  <si>
    <r>
      <t xml:space="preserve">SWIFT / BIC </t>
    </r>
    <r>
      <rPr>
        <b/>
        <sz val="16"/>
        <color rgb="FFFF0000"/>
        <rFont val="Arial"/>
        <family val="2"/>
      </rPr>
      <t>*</t>
    </r>
  </si>
  <si>
    <t xml:space="preserve">IFSC / BSB CODE </t>
  </si>
  <si>
    <t xml:space="preserve">ROUTING NUMBER </t>
  </si>
  <si>
    <t>EXPENSE ITEMS</t>
  </si>
  <si>
    <r>
      <rPr>
        <b/>
        <sz val="14"/>
        <color rgb="FFFF0000"/>
        <rFont val="Arial"/>
        <family val="2"/>
      </rPr>
      <t xml:space="preserve">  Research project use only</t>
    </r>
    <r>
      <rPr>
        <b/>
        <sz val="14"/>
        <rFont val="Arial"/>
        <family val="2"/>
      </rPr>
      <t xml:space="preserve">
Expense Description</t>
    </r>
  </si>
  <si>
    <r>
      <t xml:space="preserve">VEHICLE </t>
    </r>
    <r>
      <rPr>
        <b/>
        <sz val="16"/>
        <color rgb="FFFF0000"/>
        <rFont val="Arial"/>
        <family val="2"/>
      </rPr>
      <t>*</t>
    </r>
  </si>
  <si>
    <r>
      <t xml:space="preserve">JOURNEY FROM </t>
    </r>
    <r>
      <rPr>
        <b/>
        <sz val="16"/>
        <color rgb="FFFF0000"/>
        <rFont val="Arial"/>
        <family val="2"/>
      </rPr>
      <t>*</t>
    </r>
  </si>
  <si>
    <r>
      <t xml:space="preserve">JOURNEY TO </t>
    </r>
    <r>
      <rPr>
        <b/>
        <sz val="16"/>
        <color rgb="FFFF0000"/>
        <rFont val="Arial"/>
        <family val="2"/>
      </rPr>
      <t>*</t>
    </r>
  </si>
  <si>
    <r>
      <t xml:space="preserve">NUMBER OF MILES </t>
    </r>
    <r>
      <rPr>
        <b/>
        <sz val="16"/>
        <color rgb="FFFF0000"/>
        <rFont val="Arial"/>
        <family val="2"/>
      </rPr>
      <t>*</t>
    </r>
  </si>
  <si>
    <t xml:space="preserve">£ PER MILE </t>
  </si>
  <si>
    <t>TOTAL CLAIM</t>
  </si>
  <si>
    <r>
      <t xml:space="preserve">AUTHORISED SIGNATORY NAME </t>
    </r>
    <r>
      <rPr>
        <b/>
        <sz val="16"/>
        <color rgb="FFFF0000"/>
        <rFont val="Arial"/>
        <family val="2"/>
      </rPr>
      <t>*</t>
    </r>
  </si>
  <si>
    <r>
      <t xml:space="preserve">DATE </t>
    </r>
    <r>
      <rPr>
        <b/>
        <sz val="24"/>
        <color rgb="FFFF0000"/>
        <rFont val="Arial"/>
        <family val="2"/>
      </rPr>
      <t>*</t>
    </r>
  </si>
  <si>
    <t>CAR</t>
  </si>
  <si>
    <t>BICYCLE</t>
  </si>
  <si>
    <t>MOTORCYCLE</t>
  </si>
  <si>
    <r>
      <t xml:space="preserve">POST CODE </t>
    </r>
    <r>
      <rPr>
        <b/>
        <sz val="16"/>
        <color rgb="FFFF0000"/>
        <rFont val="Arial"/>
        <family val="2"/>
      </rPr>
      <t>*</t>
    </r>
  </si>
  <si>
    <r>
      <rPr>
        <b/>
        <sz val="16"/>
        <rFont val="Arial"/>
        <family val="2"/>
      </rPr>
      <t xml:space="preserve">ACCOUNT NUMBER </t>
    </r>
    <r>
      <rPr>
        <b/>
        <sz val="16"/>
        <color rgb="FFFF0000"/>
        <rFont val="Arial"/>
        <family val="2"/>
      </rPr>
      <t>*</t>
    </r>
  </si>
  <si>
    <r>
      <rPr>
        <b/>
        <sz val="16"/>
        <rFont val="Arial"/>
        <family val="2"/>
      </rPr>
      <t xml:space="preserve">SORT CODE </t>
    </r>
    <r>
      <rPr>
        <b/>
        <sz val="16"/>
        <color rgb="FFFF0000"/>
        <rFont val="Arial"/>
        <family val="2"/>
      </rPr>
      <t>*</t>
    </r>
  </si>
  <si>
    <r>
      <t xml:space="preserve">TOTAL CLAIM AMOUNT </t>
    </r>
    <r>
      <rPr>
        <b/>
        <sz val="16"/>
        <color rgb="FFFF0000"/>
        <rFont val="Arial"/>
        <family val="2"/>
      </rPr>
      <t>*</t>
    </r>
  </si>
  <si>
    <t>Expense 1</t>
  </si>
  <si>
    <t>Expense 2</t>
  </si>
  <si>
    <t>Expense 3</t>
  </si>
  <si>
    <t>Expense 4</t>
  </si>
  <si>
    <t>Expense 5</t>
  </si>
  <si>
    <t>Expense 6</t>
  </si>
  <si>
    <t>Expense 7</t>
  </si>
  <si>
    <t>Expense 8</t>
  </si>
  <si>
    <t>Expense 9</t>
  </si>
  <si>
    <t>Expense 10</t>
  </si>
  <si>
    <t>Coding</t>
  </si>
  <si>
    <t>Description</t>
  </si>
  <si>
    <t>Account number</t>
  </si>
  <si>
    <t>Sort code</t>
  </si>
  <si>
    <t>Intercompany</t>
  </si>
  <si>
    <t>Spare</t>
  </si>
  <si>
    <t>00000</t>
  </si>
  <si>
    <t>00</t>
  </si>
  <si>
    <t>Invoice number</t>
  </si>
  <si>
    <t>Full name</t>
  </si>
  <si>
    <t xml:space="preserve">MILES REIMBURSEMENT </t>
  </si>
  <si>
    <t>Expense 11</t>
  </si>
  <si>
    <t>Expense 12</t>
  </si>
  <si>
    <t>Expense 13</t>
  </si>
  <si>
    <t>Expense 14</t>
  </si>
  <si>
    <t>Expense 15</t>
  </si>
  <si>
    <t>Date</t>
  </si>
  <si>
    <r>
      <t>ADDRESS</t>
    </r>
    <r>
      <rPr>
        <b/>
        <sz val="16"/>
        <color rgb="FFFF0000"/>
        <rFont val="Arial"/>
        <family val="2"/>
      </rPr>
      <t xml:space="preserve"> *</t>
    </r>
  </si>
  <si>
    <t>Foreign bank details</t>
  </si>
  <si>
    <t>COUNTRY</t>
  </si>
  <si>
    <t>BANK NAME</t>
  </si>
  <si>
    <t>IBAN</t>
  </si>
  <si>
    <t>SWIFT / BIC</t>
  </si>
  <si>
    <r>
      <t>IBAN / ACCOUNT NUMBER</t>
    </r>
    <r>
      <rPr>
        <b/>
        <sz val="16"/>
        <color rgb="FFFF0000"/>
        <rFont val="Arial"/>
        <family val="2"/>
      </rPr>
      <t xml:space="preserve"> *</t>
    </r>
  </si>
  <si>
    <t>Projects</t>
  </si>
  <si>
    <t>Task number</t>
  </si>
  <si>
    <t>Expenditure type</t>
  </si>
  <si>
    <t>Expenditure Organization</t>
  </si>
  <si>
    <t>Currency</t>
  </si>
  <si>
    <r>
      <t>STUDENT ID</t>
    </r>
    <r>
      <rPr>
        <b/>
        <sz val="16"/>
        <color theme="0"/>
        <rFont val="Arial"/>
        <family val="2"/>
      </rPr>
      <t>..</t>
    </r>
  </si>
  <si>
    <t>JPY</t>
  </si>
  <si>
    <t>AUD</t>
  </si>
  <si>
    <t>CAD</t>
  </si>
  <si>
    <t>CNY</t>
  </si>
  <si>
    <t>SEK</t>
  </si>
  <si>
    <t>MXN</t>
  </si>
  <si>
    <t>NZD</t>
  </si>
  <si>
    <t>SGD</t>
  </si>
  <si>
    <t>HKD</t>
  </si>
  <si>
    <t>KRW</t>
  </si>
  <si>
    <t>TRY</t>
  </si>
  <si>
    <t>INR</t>
  </si>
  <si>
    <t>RUB</t>
  </si>
  <si>
    <t>BRL</t>
  </si>
  <si>
    <t>ZAR</t>
  </si>
  <si>
    <t>DKK</t>
  </si>
  <si>
    <t>TWD</t>
  </si>
  <si>
    <t>THB</t>
  </si>
  <si>
    <t>MYR</t>
  </si>
  <si>
    <t>UK bank details</t>
  </si>
  <si>
    <t>PROJECT</t>
  </si>
  <si>
    <r>
      <t xml:space="preserve">CLAIMANT NAME </t>
    </r>
    <r>
      <rPr>
        <b/>
        <sz val="16"/>
        <color rgb="FFFF0000"/>
        <rFont val="Arial"/>
        <family val="2"/>
      </rPr>
      <t>*</t>
    </r>
  </si>
  <si>
    <t>Payment currencies</t>
  </si>
  <si>
    <t xml:space="preserve">Expense currencies </t>
  </si>
  <si>
    <t>Advertising Non Staff</t>
  </si>
  <si>
    <t>Advertising Staff</t>
  </si>
  <si>
    <t>Animals Maintenance</t>
  </si>
  <si>
    <t>Animals Purchases</t>
  </si>
  <si>
    <t>Archive Storage</t>
  </si>
  <si>
    <t>Audio Visual Expenses</t>
  </si>
  <si>
    <t>Audit Fee</t>
  </si>
  <si>
    <t>BHF Travel Fund</t>
  </si>
  <si>
    <t>Bank Charges</t>
  </si>
  <si>
    <t>Books Publications Journal Subscriptions</t>
  </si>
  <si>
    <t>Casual Staff Demonstrating fees</t>
  </si>
  <si>
    <t>Catering External</t>
  </si>
  <si>
    <t>Catering Internal</t>
  </si>
  <si>
    <t>Chemicals General</t>
  </si>
  <si>
    <t>Cleaning Expenses</t>
  </si>
  <si>
    <t>Clothing</t>
  </si>
  <si>
    <t>Computing costs including licences</t>
  </si>
  <si>
    <t>Conference costs Overseas</t>
  </si>
  <si>
    <t>Conference costs UK</t>
  </si>
  <si>
    <t>Consultancy Academic via UOBE</t>
  </si>
  <si>
    <t>Consultancy External Company</t>
  </si>
  <si>
    <t>Consultancy External Individual</t>
  </si>
  <si>
    <t>Consumables General</t>
  </si>
  <si>
    <t>Consumables Laboratories</t>
  </si>
  <si>
    <t>Consumables Tissue Culture Media</t>
  </si>
  <si>
    <t>DI Facilities External</t>
  </si>
  <si>
    <t>DI Facilities UOB</t>
  </si>
  <si>
    <t>Equipment Hire Rent</t>
  </si>
  <si>
    <t>Equipment Maintenance</t>
  </si>
  <si>
    <t>Equipment Purchase</t>
  </si>
  <si>
    <t>Equipment greater than OJEC</t>
  </si>
  <si>
    <t>Equipment less than £10K</t>
  </si>
  <si>
    <t>Equipment £10K to OJEC limit</t>
  </si>
  <si>
    <t>Estates Costs Repairs and Maintenance</t>
  </si>
  <si>
    <t>Fleetcheck</t>
  </si>
  <si>
    <t>Furniture Costs</t>
  </si>
  <si>
    <t>Gases</t>
  </si>
  <si>
    <t>Gases Cylinder Rental</t>
  </si>
  <si>
    <t>Gifts Prizes Donations</t>
  </si>
  <si>
    <t>Hotel Overseas</t>
  </si>
  <si>
    <t>Hotel UK</t>
  </si>
  <si>
    <t>Insurance Premium Excess Claims</t>
  </si>
  <si>
    <t>Licences</t>
  </si>
  <si>
    <t>Match Funded Equipment</t>
  </si>
  <si>
    <t>NIHR Conference Costs</t>
  </si>
  <si>
    <t>NIHR NHS Partners</t>
  </si>
  <si>
    <t>NIHR Training and Development</t>
  </si>
  <si>
    <t>NIHR Training and Development Consumables</t>
  </si>
  <si>
    <t>Open Access Costs</t>
  </si>
  <si>
    <t>Other Equipment</t>
  </si>
  <si>
    <t>Payment to Research partners</t>
  </si>
  <si>
    <t>Photocopying costs</t>
  </si>
  <si>
    <t>Portering</t>
  </si>
  <si>
    <t>Postage costs</t>
  </si>
  <si>
    <t>Printing External</t>
  </si>
  <si>
    <t>Printing Internal</t>
  </si>
  <si>
    <t>Professional fees</t>
  </si>
  <si>
    <t>RCUK Overseas Subcontractors</t>
  </si>
  <si>
    <t>Rent Commercial</t>
  </si>
  <si>
    <t>Research Payment to subjects</t>
  </si>
  <si>
    <t>Research Studentship Fees</t>
  </si>
  <si>
    <t>Research Studentship Stipends</t>
  </si>
  <si>
    <t>Research Subcontractor</t>
  </si>
  <si>
    <t>Room Hire External</t>
  </si>
  <si>
    <t>Room Hire Internal</t>
  </si>
  <si>
    <t>Severance And Redundancy</t>
  </si>
  <si>
    <t>Staff Development</t>
  </si>
  <si>
    <t>Staff Relocation</t>
  </si>
  <si>
    <t>Staff Visa</t>
  </si>
  <si>
    <t>Stationery</t>
  </si>
  <si>
    <t>Subscriptions Professional bodies</t>
  </si>
  <si>
    <t>Subsistence Overseas</t>
  </si>
  <si>
    <t>Subsistence UK</t>
  </si>
  <si>
    <t>Telephone And Related Charges</t>
  </si>
  <si>
    <t>Travel Overseas</t>
  </si>
  <si>
    <t>Travel UK</t>
  </si>
  <si>
    <t>Visiting Lecturer's fees</t>
  </si>
  <si>
    <t>Type of expense</t>
  </si>
  <si>
    <t>Vehicle</t>
  </si>
  <si>
    <t>Organization</t>
  </si>
  <si>
    <t>Arts and Law</t>
  </si>
  <si>
    <t>Social Work and Social Care</t>
  </si>
  <si>
    <t>Social Policy, Sociology and Criminology</t>
  </si>
  <si>
    <t>Maintenance Operations</t>
  </si>
  <si>
    <t>Maintenance Management</t>
  </si>
  <si>
    <t>Maintenance - Reactive</t>
  </si>
  <si>
    <t>Maintenance - Planned</t>
  </si>
  <si>
    <t>Maintenance - Officers</t>
  </si>
  <si>
    <t>Maintenance - HAS</t>
  </si>
  <si>
    <t>Maintenance - Minor Works</t>
  </si>
  <si>
    <t>Professional Services</t>
  </si>
  <si>
    <t>Estates Projects</t>
  </si>
  <si>
    <t>IT Services</t>
  </si>
  <si>
    <t>Infrastructure Services</t>
  </si>
  <si>
    <t>Architecture, Security and Innovation</t>
  </si>
  <si>
    <t>Properties and Leases</t>
  </si>
  <si>
    <t>MDS - Administration</t>
  </si>
  <si>
    <t>MDS - Research and Knowledge Transfer</t>
  </si>
  <si>
    <t>MDS - Education</t>
  </si>
  <si>
    <t>MDS - Estates and Infrastructure</t>
  </si>
  <si>
    <t>Global Engagement</t>
  </si>
  <si>
    <t>Software Development</t>
  </si>
  <si>
    <t>Core Infrastructure</t>
  </si>
  <si>
    <t>Academic Services</t>
  </si>
  <si>
    <t>External Relations</t>
  </si>
  <si>
    <t>Drama and Theatre Arts</t>
  </si>
  <si>
    <t>English Language and Linguistics</t>
  </si>
  <si>
    <t>English Literature</t>
  </si>
  <si>
    <t>Film and Creative Writing</t>
  </si>
  <si>
    <t>Centre for Byzantine, Ottoman and Modern Greek Studies</t>
  </si>
  <si>
    <t>History</t>
  </si>
  <si>
    <t>Ironbridge International Institute for Cultural Heritage</t>
  </si>
  <si>
    <t>African Studies and Anthropology</t>
  </si>
  <si>
    <t>Art History, Curating and Visual Studies</t>
  </si>
  <si>
    <t>Engineering and Physical Sciences</t>
  </si>
  <si>
    <t>Chemical Engineering</t>
  </si>
  <si>
    <t>Chemistry</t>
  </si>
  <si>
    <t>Computer Science</t>
  </si>
  <si>
    <t>Engineering</t>
  </si>
  <si>
    <t>Electronic, Electrical and Systems Engineering</t>
  </si>
  <si>
    <t>Mathematics</t>
  </si>
  <si>
    <t>Metallurgy and Materials</t>
  </si>
  <si>
    <t>High Temperature Research Centre</t>
  </si>
  <si>
    <t>Collaborative Teaching Laboratory</t>
  </si>
  <si>
    <t>Physics and Astronomy</t>
  </si>
  <si>
    <t>Life and Environmental Sciences</t>
  </si>
  <si>
    <t>Biosciences</t>
  </si>
  <si>
    <t>Geography, Earth and Environmental Sciences</t>
  </si>
  <si>
    <t>Earth and Environmental Sciences</t>
  </si>
  <si>
    <t>Birmingham Institute of Forest Research</t>
  </si>
  <si>
    <t>Geography</t>
  </si>
  <si>
    <t>Psychology</t>
  </si>
  <si>
    <t>Sport, Exercise and Rehabilitation Sciences</t>
  </si>
  <si>
    <t>Physiotherapy</t>
  </si>
  <si>
    <t>MDS - College Hub</t>
  </si>
  <si>
    <t>Institute of Translational Medicine</t>
  </si>
  <si>
    <t>Advanced Therapies Facility</t>
  </si>
  <si>
    <t>Life Sciences Campus</t>
  </si>
  <si>
    <t>Cancer Clinical Trials Unit</t>
  </si>
  <si>
    <t>Nuclear Magnetic Resonance</t>
  </si>
  <si>
    <t>Cardiovascular Sciences</t>
  </si>
  <si>
    <t>Clinical Sciences</t>
  </si>
  <si>
    <t>Pharmacy</t>
  </si>
  <si>
    <t>Birmingham Medical School</t>
  </si>
  <si>
    <t>Dentistry</t>
  </si>
  <si>
    <t>Dental Hygiene and Therapy</t>
  </si>
  <si>
    <t>Applied Health Research</t>
  </si>
  <si>
    <t>Immunology and Immunotherapy</t>
  </si>
  <si>
    <t>Clinical Immunology Service</t>
  </si>
  <si>
    <t>Metabolism and Systems Research</t>
  </si>
  <si>
    <t>Microbiology and Infection</t>
  </si>
  <si>
    <t>Social Sciences</t>
  </si>
  <si>
    <t>Birmingham Business School</t>
  </si>
  <si>
    <t>Accounting</t>
  </si>
  <si>
    <t>Finance</t>
  </si>
  <si>
    <t>Strategy and International Business</t>
  </si>
  <si>
    <t>Management</t>
  </si>
  <si>
    <t>Economics</t>
  </si>
  <si>
    <t>Government</t>
  </si>
  <si>
    <t>International Development</t>
  </si>
  <si>
    <t>Estates</t>
  </si>
  <si>
    <t>English, Drama and Creative Studies</t>
  </si>
  <si>
    <t>History and Cultures</t>
  </si>
  <si>
    <t>Classics, Ancient History and Archaeology</t>
  </si>
  <si>
    <t>Languages for All</t>
  </si>
  <si>
    <t>University Music</t>
  </si>
  <si>
    <t>Birmingham Law School</t>
  </si>
  <si>
    <t>Philosophy, Theology and Religion</t>
  </si>
  <si>
    <t>Philosophy</t>
  </si>
  <si>
    <t>Theology and Religion</t>
  </si>
  <si>
    <t>Education</t>
  </si>
  <si>
    <t>Disability, Inclusion and Special Needs</t>
  </si>
  <si>
    <t>Teacher Education</t>
  </si>
  <si>
    <t>Political Science and International Studies</t>
  </si>
  <si>
    <t>Health Services Management Centre</t>
  </si>
  <si>
    <t>Business Engagement</t>
  </si>
  <si>
    <t>Campus Services</t>
  </si>
  <si>
    <t>Finance Office</t>
  </si>
  <si>
    <t>City-REDI</t>
  </si>
  <si>
    <t>Birmingham Leadership Institute</t>
  </si>
  <si>
    <t>Nursing and Midwifery</t>
  </si>
  <si>
    <t>Public Administration and Policy</t>
  </si>
  <si>
    <t>Civil Engineering</t>
  </si>
  <si>
    <t>Mechanical Engineering</t>
  </si>
  <si>
    <t>Cancer and Genomic Sciences</t>
  </si>
  <si>
    <t>Biomedical Sciences</t>
  </si>
  <si>
    <t>Birmingham Clinical Trials Unit</t>
  </si>
  <si>
    <t>Inflammation and Ageing</t>
  </si>
  <si>
    <t>Education and Social Justice</t>
  </si>
  <si>
    <t>Institute of Local Government Studies</t>
  </si>
  <si>
    <t>Social Policy</t>
  </si>
  <si>
    <t>Shakespeare Institute</t>
  </si>
  <si>
    <t>Languages, Cultures, Art History and Music</t>
  </si>
  <si>
    <t>Modern Languages</t>
  </si>
  <si>
    <t>Music</t>
  </si>
  <si>
    <t>Marketing</t>
  </si>
  <si>
    <t>IT Project Office</t>
  </si>
  <si>
    <t>New Core</t>
  </si>
  <si>
    <t>Estates Capital Programme</t>
  </si>
  <si>
    <t>Medical and Dental Sciences</t>
  </si>
  <si>
    <t>College Based Research Development</t>
  </si>
  <si>
    <t>I confirm that the above expenditure has been incurred as a result of UoB activities only and that the bank details given are correct and can be used by UoB</t>
  </si>
  <si>
    <r>
      <t>INTERMEDIARY BANK DETAILS</t>
    </r>
    <r>
      <rPr>
        <b/>
        <sz val="16"/>
        <color rgb="FFFF0000"/>
        <rFont val="Arial"/>
        <family val="2"/>
      </rPr>
      <t xml:space="preserve"> </t>
    </r>
    <r>
      <rPr>
        <b/>
        <sz val="16"/>
        <rFont val="Arial"/>
        <family val="2"/>
      </rPr>
      <t>(SWIFT / BIC)</t>
    </r>
  </si>
  <si>
    <t xml:space="preserve">TRANSIT NUMBER </t>
  </si>
  <si>
    <r>
      <t>INSTITUTION NUMBER</t>
    </r>
    <r>
      <rPr>
        <b/>
        <sz val="16"/>
        <color theme="0"/>
        <rFont val="Arial"/>
        <family val="2"/>
      </rPr>
      <t>.</t>
    </r>
  </si>
  <si>
    <t>CANADA bank details</t>
  </si>
  <si>
    <t xml:space="preserve">ABA ROUTING NUMBER </t>
  </si>
  <si>
    <r>
      <t xml:space="preserve">REIMBURSEMENT CURRENCY </t>
    </r>
    <r>
      <rPr>
        <b/>
        <sz val="16"/>
        <color rgb="FFFF0000"/>
        <rFont val="Arial"/>
        <family val="2"/>
      </rPr>
      <t>*</t>
    </r>
  </si>
  <si>
    <t xml:space="preserve"> UK BANK ACCOUNT DETAILS</t>
  </si>
  <si>
    <t>NON-UK BANK ACCOUNT DETAILS</t>
  </si>
  <si>
    <t>** Receipts for expenses items must be attached to the email with this form. We cannot process expenses without receipts. **</t>
  </si>
  <si>
    <t>** Bank details are the sole responsibility of the person completing the claim form **</t>
  </si>
  <si>
    <r>
      <rPr>
        <b/>
        <sz val="18"/>
        <rFont val="Arial"/>
        <family val="2"/>
      </rPr>
      <t>All forms must be submitted directly from your department in Excel format, by email, to</t>
    </r>
    <r>
      <rPr>
        <b/>
        <sz val="18"/>
        <color rgb="FFFF0000"/>
        <rFont val="Arial"/>
        <family val="2"/>
      </rPr>
      <t xml:space="preserve"> </t>
    </r>
    <r>
      <rPr>
        <b/>
        <u/>
        <sz val="18"/>
        <color theme="3" tint="0.39997558519241921"/>
        <rFont val="Arial"/>
        <family val="2"/>
      </rPr>
      <t>expenses@contacts.bham.ac.uk</t>
    </r>
    <r>
      <rPr>
        <b/>
        <sz val="18"/>
        <color rgb="FFFF0000"/>
        <rFont val="Arial"/>
        <family val="2"/>
      </rPr>
      <t xml:space="preserve">
</t>
    </r>
    <r>
      <rPr>
        <b/>
        <sz val="18"/>
        <rFont val="Arial"/>
        <family val="2"/>
      </rPr>
      <t>All fields marked</t>
    </r>
    <r>
      <rPr>
        <b/>
        <sz val="18"/>
        <color rgb="FFFF0000"/>
        <rFont val="Arial"/>
        <family val="2"/>
      </rPr>
      <t xml:space="preserve"> * </t>
    </r>
    <r>
      <rPr>
        <b/>
        <sz val="18"/>
        <rFont val="Arial"/>
        <family val="2"/>
      </rPr>
      <t>are mandatory; if you don't complete these fields, we cannot process the form.
Complete the form electronically as handwritten submissions will not be accepted.</t>
    </r>
  </si>
  <si>
    <t>We can pay expenses into either a UK or non-UK bank account. Please fill in the form with the bank details of the account you want us to pay the expenses to.</t>
  </si>
  <si>
    <r>
      <t>DESCRIPTION OF THE CLAIM</t>
    </r>
    <r>
      <rPr>
        <b/>
        <sz val="16"/>
        <color rgb="FFFF0000"/>
        <rFont val="Arial"/>
        <family val="2"/>
      </rPr>
      <t xml:space="preserve"> *</t>
    </r>
  </si>
  <si>
    <t xml:space="preserve">Email </t>
  </si>
  <si>
    <t>Description of the claim</t>
  </si>
  <si>
    <t>MILEAGE CALCULATOR</t>
  </si>
  <si>
    <t>FARAN</t>
  </si>
  <si>
    <t>ZAFAR</t>
  </si>
  <si>
    <t>FLAT 116  IQ STUDENT ACCOMODATION</t>
  </si>
  <si>
    <t>B47AG</t>
  </si>
  <si>
    <t>07355889332</t>
  </si>
  <si>
    <t>faranzafarcs@gmail.com</t>
  </si>
  <si>
    <t>Nationwide</t>
  </si>
  <si>
    <t>FARAN ZAFAR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</si>
</sst>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£&quot;#,##0.00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24"/>
      <name val="Arial Narrow"/>
      <family val="2"/>
    </font>
    <font>
      <b/>
      <sz val="14"/>
      <name val="Arial Narrow"/>
      <family val="2"/>
    </font>
    <font>
      <b/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color indexed="10"/>
      <name val="Arial Narrow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sz val="24"/>
      <name val="Arial"/>
      <family val="2"/>
    </font>
    <font>
      <sz val="12"/>
      <color indexed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24"/>
      <name val="Arial"/>
      <family val="2"/>
    </font>
    <font>
      <b/>
      <u/>
      <sz val="20"/>
      <color rgb="FFFF0000"/>
      <name val="Arial"/>
      <family val="2"/>
    </font>
    <font>
      <b/>
      <sz val="24"/>
      <color rgb="FFFF000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22"/>
      <color theme="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48"/>
      <name val="Arial"/>
      <family val="2"/>
    </font>
    <font>
      <u/>
      <sz val="10"/>
      <color theme="10"/>
      <name val="Arial"/>
      <family val="2"/>
    </font>
    <font>
      <sz val="22"/>
      <name val="Arial"/>
      <family val="2"/>
    </font>
    <font>
      <sz val="10"/>
      <color theme="0"/>
      <name val="Arial"/>
      <family val="2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b/>
      <sz val="11"/>
      <color indexed="81"/>
      <name val="Tahoma"/>
      <family val="2"/>
    </font>
    <font>
      <b/>
      <sz val="14"/>
      <color indexed="81"/>
      <name val="Tahoma"/>
      <family val="2"/>
    </font>
    <font>
      <b/>
      <u/>
      <sz val="18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color theme="3" tint="0.39997558519241921"/>
      <name val="Arial"/>
      <family val="2"/>
    </font>
    <font>
      <b/>
      <sz val="18"/>
      <color theme="0"/>
      <name val="Arial"/>
      <family val="2"/>
    </font>
    <font>
      <b/>
      <sz val="17.5"/>
      <color theme="0"/>
      <name val="Arial"/>
      <family val="2"/>
    </font>
    <font>
      <b/>
      <sz val="17.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mediumGray"/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1" fillId="0" borderId="0"/>
    <xf numFmtId="164" fontId="28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272">
    <xf numFmtId="0" fontId="0" fillId="0" borderId="0" xfId="0"/>
    <xf numFmtId="0" fontId="2" fillId="0" borderId="0" xfId="0" applyFont="1" applyAlignment="1">
      <alignment horizontal="right" vertical="center"/>
    </xf>
    <xf numFmtId="0" fontId="0" fillId="0" borderId="0" xfId="0" applyProtection="1">
      <protection locked="0"/>
    </xf>
    <xf numFmtId="0" fontId="7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10" fillId="0" borderId="0" xfId="0" applyFont="1"/>
    <xf numFmtId="0" fontId="0" fillId="0" borderId="8" xfId="0" applyBorder="1"/>
    <xf numFmtId="0" fontId="4" fillId="0" borderId="0" xfId="0" applyFont="1" applyAlignment="1" applyProtection="1">
      <alignment vertical="center"/>
      <protection locked="0"/>
    </xf>
    <xf numFmtId="0" fontId="11" fillId="0" borderId="0" xfId="0" applyFont="1"/>
    <xf numFmtId="0" fontId="11" fillId="0" borderId="5" xfId="0" applyFont="1" applyBorder="1"/>
    <xf numFmtId="0" fontId="11" fillId="0" borderId="4" xfId="0" applyFont="1" applyBorder="1"/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16" fillId="3" borderId="6" xfId="0" applyFont="1" applyFill="1" applyBorder="1" applyAlignment="1">
      <alignment vertic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11" fillId="0" borderId="0" xfId="0" applyFont="1" applyAlignment="1">
      <alignment horizontal="center"/>
    </xf>
    <xf numFmtId="0" fontId="4" fillId="4" borderId="13" xfId="0" applyFont="1" applyFill="1" applyBorder="1" applyAlignment="1" applyProtection="1">
      <alignment horizontal="center" vertical="center"/>
      <protection locked="0"/>
    </xf>
    <xf numFmtId="0" fontId="4" fillId="4" borderId="20" xfId="0" applyFont="1" applyFill="1" applyBorder="1" applyAlignment="1" applyProtection="1">
      <alignment horizontal="center" vertical="center"/>
      <protection locked="0"/>
    </xf>
    <xf numFmtId="0" fontId="4" fillId="4" borderId="18" xfId="0" applyFont="1" applyFill="1" applyBorder="1" applyAlignment="1" applyProtection="1">
      <alignment horizontal="center" vertical="center"/>
      <protection locked="0"/>
    </xf>
    <xf numFmtId="0" fontId="32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7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64" fontId="11" fillId="0" borderId="0" xfId="3" applyFont="1" applyAlignment="1">
      <alignment horizontal="left"/>
    </xf>
    <xf numFmtId="49" fontId="0" fillId="0" borderId="0" xfId="0" applyNumberFormat="1" applyAlignment="1">
      <alignment horizontal="left"/>
    </xf>
    <xf numFmtId="0" fontId="34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16" fillId="3" borderId="29" xfId="0" applyFont="1" applyFill="1" applyBorder="1" applyAlignment="1">
      <alignment vertical="center"/>
    </xf>
    <xf numFmtId="0" fontId="5" fillId="0" borderId="2" xfId="0" applyFont="1" applyBorder="1"/>
    <xf numFmtId="0" fontId="10" fillId="0" borderId="8" xfId="0" applyFont="1" applyBorder="1"/>
    <xf numFmtId="164" fontId="15" fillId="4" borderId="10" xfId="3" applyFont="1" applyFill="1" applyBorder="1" applyAlignment="1" applyProtection="1">
      <alignment vertical="center"/>
      <protection locked="0"/>
    </xf>
    <xf numFmtId="164" fontId="15" fillId="4" borderId="10" xfId="3" applyFont="1" applyFill="1" applyBorder="1" applyAlignment="1" applyProtection="1">
      <alignment horizontal="center" vertical="center"/>
      <protection locked="0"/>
    </xf>
    <xf numFmtId="164" fontId="11" fillId="0" borderId="0" xfId="0" applyNumberFormat="1" applyFont="1" applyAlignment="1">
      <alignment horizontal="center"/>
    </xf>
    <xf numFmtId="4" fontId="0" fillId="0" borderId="0" xfId="3" applyNumberFormat="1" applyFont="1" applyAlignment="1">
      <alignment horizontal="left"/>
    </xf>
    <xf numFmtId="0" fontId="17" fillId="0" borderId="4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6" borderId="0" xfId="0" applyFont="1" applyFill="1"/>
    <xf numFmtId="165" fontId="17" fillId="6" borderId="0" xfId="0" applyNumberFormat="1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9" fillId="0" borderId="4" xfId="0" applyFont="1" applyBorder="1" applyAlignment="1">
      <alignment vertical="center"/>
    </xf>
    <xf numFmtId="0" fontId="23" fillId="0" borderId="0" xfId="0" applyFont="1"/>
    <xf numFmtId="0" fontId="9" fillId="0" borderId="0" xfId="0" applyFont="1" applyAlignment="1">
      <alignment horizontal="left" vertical="center"/>
    </xf>
    <xf numFmtId="0" fontId="9" fillId="3" borderId="2" xfId="0" applyFont="1" applyFill="1" applyBorder="1" applyAlignment="1">
      <alignment vertical="center"/>
    </xf>
    <xf numFmtId="0" fontId="9" fillId="0" borderId="25" xfId="0" applyFont="1" applyBorder="1" applyAlignment="1">
      <alignment horizontal="center" vertical="center" wrapText="1"/>
    </xf>
    <xf numFmtId="0" fontId="15" fillId="3" borderId="6" xfId="0" applyFont="1" applyFill="1" applyBorder="1" applyAlignment="1">
      <alignment vertical="center"/>
    </xf>
    <xf numFmtId="0" fontId="15" fillId="3" borderId="29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/>
    </xf>
    <xf numFmtId="0" fontId="11" fillId="0" borderId="5" xfId="0" applyFont="1" applyBorder="1" applyAlignment="1">
      <alignment vertical="center"/>
    </xf>
    <xf numFmtId="0" fontId="4" fillId="6" borderId="0" xfId="0" applyFont="1" applyFill="1" applyAlignment="1">
      <alignment horizontal="center"/>
    </xf>
    <xf numFmtId="0" fontId="9" fillId="6" borderId="0" xfId="0" applyFont="1" applyFill="1" applyAlignment="1">
      <alignment horizontal="right" vertical="center" wrapText="1"/>
    </xf>
    <xf numFmtId="0" fontId="20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16" fillId="0" borderId="0" xfId="0" applyFont="1"/>
    <xf numFmtId="0" fontId="16" fillId="3" borderId="33" xfId="0" applyFont="1" applyFill="1" applyBorder="1" applyAlignment="1">
      <alignment vertical="center"/>
    </xf>
    <xf numFmtId="0" fontId="15" fillId="3" borderId="33" xfId="0" applyFont="1" applyFill="1" applyBorder="1" applyAlignment="1">
      <alignment vertical="center"/>
    </xf>
    <xf numFmtId="164" fontId="15" fillId="4" borderId="34" xfId="3" applyFont="1" applyFill="1" applyBorder="1" applyAlignment="1" applyProtection="1">
      <alignment horizontal="center" vertical="center"/>
      <protection locked="0"/>
    </xf>
    <xf numFmtId="164" fontId="15" fillId="4" borderId="34" xfId="3" applyFont="1" applyFill="1" applyBorder="1" applyAlignment="1" applyProtection="1">
      <alignment vertical="center"/>
      <protection locked="0"/>
    </xf>
    <xf numFmtId="0" fontId="15" fillId="0" borderId="13" xfId="0" applyFont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0" fontId="20" fillId="4" borderId="13" xfId="0" applyFont="1" applyFill="1" applyBorder="1" applyAlignment="1" applyProtection="1">
      <alignment horizontal="center" vertical="center" wrapText="1"/>
      <protection locked="0"/>
    </xf>
    <xf numFmtId="0" fontId="20" fillId="4" borderId="15" xfId="0" applyFont="1" applyFill="1" applyBorder="1" applyAlignment="1" applyProtection="1">
      <alignment horizontal="center" vertical="center" wrapText="1"/>
      <protection locked="0"/>
    </xf>
    <xf numFmtId="0" fontId="20" fillId="4" borderId="14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/>
    </xf>
    <xf numFmtId="0" fontId="16" fillId="2" borderId="6" xfId="0" applyFont="1" applyFill="1" applyBorder="1" applyAlignment="1" applyProtection="1">
      <alignment horizontal="center" vertical="center"/>
      <protection locked="0"/>
    </xf>
    <xf numFmtId="0" fontId="16" fillId="4" borderId="6" xfId="0" applyFont="1" applyFill="1" applyBorder="1" applyAlignment="1" applyProtection="1">
      <alignment horizontal="left" vertical="center"/>
      <protection locked="0"/>
    </xf>
    <xf numFmtId="0" fontId="16" fillId="4" borderId="6" xfId="0" applyFont="1" applyFill="1" applyBorder="1" applyProtection="1">
      <protection locked="0"/>
    </xf>
    <xf numFmtId="0" fontId="16" fillId="2" borderId="32" xfId="0" applyFont="1" applyFill="1" applyBorder="1" applyAlignment="1" applyProtection="1">
      <alignment vertical="center"/>
      <protection locked="0"/>
    </xf>
    <xf numFmtId="0" fontId="16" fillId="2" borderId="33" xfId="0" applyFont="1" applyFill="1" applyBorder="1" applyAlignment="1" applyProtection="1">
      <alignment vertical="center"/>
      <protection locked="0"/>
    </xf>
    <xf numFmtId="0" fontId="16" fillId="2" borderId="33" xfId="0" applyFont="1" applyFill="1" applyBorder="1" applyAlignment="1" applyProtection="1">
      <alignment horizontal="center" vertical="center"/>
      <protection locked="0"/>
    </xf>
    <xf numFmtId="0" fontId="16" fillId="4" borderId="33" xfId="0" applyFont="1" applyFill="1" applyBorder="1" applyAlignment="1" applyProtection="1">
      <alignment horizontal="left" vertical="center"/>
      <protection locked="0"/>
    </xf>
    <xf numFmtId="0" fontId="16" fillId="4" borderId="33" xfId="0" applyFont="1" applyFill="1" applyBorder="1" applyProtection="1">
      <protection locked="0"/>
    </xf>
    <xf numFmtId="0" fontId="16" fillId="2" borderId="24" xfId="0" applyFont="1" applyFill="1" applyBorder="1" applyAlignment="1" applyProtection="1">
      <alignment vertical="center"/>
      <protection locked="0"/>
    </xf>
    <xf numFmtId="0" fontId="16" fillId="2" borderId="11" xfId="0" applyFont="1" applyFill="1" applyBorder="1" applyAlignment="1" applyProtection="1">
      <alignment vertical="center"/>
      <protection locked="0"/>
    </xf>
    <xf numFmtId="0" fontId="16" fillId="2" borderId="12" xfId="0" applyFont="1" applyFill="1" applyBorder="1" applyAlignment="1" applyProtection="1">
      <alignment vertical="center"/>
      <protection locked="0"/>
    </xf>
    <xf numFmtId="49" fontId="16" fillId="2" borderId="10" xfId="0" applyNumberFormat="1" applyFont="1" applyFill="1" applyBorder="1" applyAlignment="1" applyProtection="1">
      <alignment horizontal="center" vertical="center"/>
      <protection locked="0"/>
    </xf>
    <xf numFmtId="49" fontId="16" fillId="2" borderId="11" xfId="0" applyNumberFormat="1" applyFont="1" applyFill="1" applyBorder="1" applyAlignment="1" applyProtection="1">
      <alignment horizontal="center" vertical="center"/>
      <protection locked="0"/>
    </xf>
    <xf numFmtId="49" fontId="16" fillId="2" borderId="12" xfId="0" applyNumberFormat="1" applyFont="1" applyFill="1" applyBorder="1" applyAlignment="1" applyProtection="1">
      <alignment horizontal="center" vertical="center"/>
      <protection locked="0"/>
    </xf>
    <xf numFmtId="49" fontId="16" fillId="4" borderId="10" xfId="0" applyNumberFormat="1" applyFont="1" applyFill="1" applyBorder="1" applyAlignment="1" applyProtection="1">
      <alignment horizontal="center" vertical="center"/>
      <protection locked="0"/>
    </xf>
    <xf numFmtId="49" fontId="16" fillId="4" borderId="11" xfId="0" applyNumberFormat="1" applyFont="1" applyFill="1" applyBorder="1" applyAlignment="1" applyProtection="1">
      <alignment horizontal="center" vertical="center"/>
      <protection locked="0"/>
    </xf>
    <xf numFmtId="49" fontId="16" fillId="4" borderId="12" xfId="0" applyNumberFormat="1" applyFont="1" applyFill="1" applyBorder="1" applyAlignment="1" applyProtection="1">
      <alignment horizontal="center" vertical="center"/>
      <protection locked="0"/>
    </xf>
    <xf numFmtId="49" fontId="16" fillId="4" borderId="10" xfId="0" applyNumberFormat="1" applyFont="1" applyFill="1" applyBorder="1" applyAlignment="1" applyProtection="1">
      <alignment horizontal="center"/>
      <protection locked="0"/>
    </xf>
    <xf numFmtId="49" fontId="16" fillId="4" borderId="11" xfId="0" applyNumberFormat="1" applyFont="1" applyFill="1" applyBorder="1" applyAlignment="1" applyProtection="1">
      <alignment horizontal="center"/>
      <protection locked="0"/>
    </xf>
    <xf numFmtId="49" fontId="16" fillId="4" borderId="12" xfId="0" applyNumberFormat="1" applyFont="1" applyFill="1" applyBorder="1" applyAlignment="1" applyProtection="1">
      <alignment horizontal="center"/>
      <protection locked="0"/>
    </xf>
    <xf numFmtId="49" fontId="16" fillId="7" borderId="6" xfId="0" applyNumberFormat="1" applyFont="1" applyFill="1" applyBorder="1" applyAlignment="1">
      <alignment horizontal="center" vertical="center"/>
    </xf>
    <xf numFmtId="49" fontId="16" fillId="7" borderId="10" xfId="0" applyNumberFormat="1" applyFont="1" applyFill="1" applyBorder="1" applyAlignment="1">
      <alignment horizontal="center" vertical="center"/>
    </xf>
    <xf numFmtId="49" fontId="16" fillId="7" borderId="11" xfId="0" applyNumberFormat="1" applyFont="1" applyFill="1" applyBorder="1" applyAlignment="1">
      <alignment horizontal="center" vertical="center"/>
    </xf>
    <xf numFmtId="49" fontId="16" fillId="7" borderId="12" xfId="0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right" vertical="center" wrapText="1"/>
    </xf>
    <xf numFmtId="0" fontId="15" fillId="0" borderId="14" xfId="0" applyFont="1" applyBorder="1" applyAlignment="1">
      <alignment horizontal="right" vertical="center" wrapText="1"/>
    </xf>
    <xf numFmtId="0" fontId="16" fillId="2" borderId="23" xfId="0" applyFont="1" applyFill="1" applyBorder="1" applyAlignment="1" applyProtection="1">
      <alignment vertical="center"/>
      <protection locked="0"/>
    </xf>
    <xf numFmtId="0" fontId="16" fillId="2" borderId="6" xfId="0" applyFont="1" applyFill="1" applyBorder="1" applyAlignment="1" applyProtection="1">
      <alignment vertical="center"/>
      <protection locked="0"/>
    </xf>
    <xf numFmtId="0" fontId="15" fillId="0" borderId="14" xfId="0" applyFont="1" applyBorder="1" applyAlignment="1">
      <alignment horizontal="right" vertical="center"/>
    </xf>
    <xf numFmtId="0" fontId="15" fillId="2" borderId="13" xfId="0" applyFont="1" applyFill="1" applyBorder="1" applyAlignment="1" applyProtection="1">
      <alignment horizontal="center" vertical="center"/>
      <protection locked="0"/>
    </xf>
    <xf numFmtId="0" fontId="15" fillId="2" borderId="15" xfId="0" applyFont="1" applyFill="1" applyBorder="1" applyAlignment="1" applyProtection="1">
      <alignment horizontal="center" vertical="center"/>
      <protection locked="0"/>
    </xf>
    <xf numFmtId="0" fontId="15" fillId="2" borderId="14" xfId="0" applyFont="1" applyFill="1" applyBorder="1" applyAlignment="1" applyProtection="1">
      <alignment horizontal="center" vertical="center"/>
      <protection locked="0"/>
    </xf>
    <xf numFmtId="49" fontId="16" fillId="2" borderId="6" xfId="0" applyNumberFormat="1" applyFont="1" applyFill="1" applyBorder="1" applyAlignment="1" applyProtection="1">
      <alignment horizontal="center" vertical="center"/>
      <protection locked="0"/>
    </xf>
    <xf numFmtId="49" fontId="16" fillId="4" borderId="6" xfId="0" applyNumberFormat="1" applyFont="1" applyFill="1" applyBorder="1" applyAlignment="1" applyProtection="1">
      <alignment horizontal="center" vertical="center"/>
      <protection locked="0"/>
    </xf>
    <xf numFmtId="49" fontId="30" fillId="4" borderId="13" xfId="4" applyNumberFormat="1" applyFill="1" applyBorder="1" applyAlignment="1" applyProtection="1">
      <alignment horizontal="center" vertical="center"/>
      <protection locked="0"/>
    </xf>
    <xf numFmtId="49" fontId="15" fillId="4" borderId="15" xfId="0" applyNumberFormat="1" applyFont="1" applyFill="1" applyBorder="1" applyAlignment="1" applyProtection="1">
      <alignment horizontal="center" vertical="center"/>
      <protection locked="0"/>
    </xf>
    <xf numFmtId="49" fontId="15" fillId="4" borderId="14" xfId="0" applyNumberFormat="1" applyFont="1" applyFill="1" applyBorder="1" applyAlignment="1" applyProtection="1">
      <alignment horizontal="center" vertical="center"/>
      <protection locked="0"/>
    </xf>
    <xf numFmtId="0" fontId="15" fillId="4" borderId="22" xfId="0" applyFont="1" applyFill="1" applyBorder="1" applyAlignment="1" applyProtection="1">
      <alignment horizontal="center" vertical="center"/>
      <protection locked="0"/>
    </xf>
    <xf numFmtId="0" fontId="15" fillId="4" borderId="15" xfId="0" applyFont="1" applyFill="1" applyBorder="1" applyAlignment="1" applyProtection="1">
      <alignment horizontal="center" vertical="center"/>
      <protection locked="0"/>
    </xf>
    <xf numFmtId="0" fontId="15" fillId="4" borderId="14" xfId="0" applyFont="1" applyFill="1" applyBorder="1" applyAlignment="1" applyProtection="1">
      <alignment horizontal="center" vertical="center"/>
      <protection locked="0"/>
    </xf>
    <xf numFmtId="0" fontId="15" fillId="4" borderId="18" xfId="0" applyFont="1" applyFill="1" applyBorder="1" applyAlignment="1" applyProtection="1">
      <alignment horizontal="center" vertical="center"/>
      <protection locked="0"/>
    </xf>
    <xf numFmtId="0" fontId="15" fillId="4" borderId="19" xfId="0" applyFont="1" applyFill="1" applyBorder="1" applyAlignment="1" applyProtection="1">
      <alignment horizontal="center" vertical="center"/>
      <protection locked="0"/>
    </xf>
    <xf numFmtId="0" fontId="15" fillId="4" borderId="20" xfId="0" applyFont="1" applyFill="1" applyBorder="1" applyAlignment="1" applyProtection="1">
      <alignment horizontal="center" vertical="center"/>
      <protection locked="0"/>
    </xf>
    <xf numFmtId="0" fontId="31" fillId="0" borderId="0" xfId="0" applyFont="1" applyAlignment="1">
      <alignment horizontal="center" vertical="center"/>
    </xf>
    <xf numFmtId="49" fontId="16" fillId="4" borderId="6" xfId="0" applyNumberFormat="1" applyFont="1" applyFill="1" applyBorder="1" applyAlignment="1" applyProtection="1">
      <alignment horizontal="center"/>
      <protection locked="0"/>
    </xf>
    <xf numFmtId="49" fontId="15" fillId="4" borderId="13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/>
    </xf>
    <xf numFmtId="0" fontId="20" fillId="0" borderId="4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25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49" fontId="15" fillId="4" borderId="13" xfId="0" applyNumberFormat="1" applyFont="1" applyFill="1" applyBorder="1" applyAlignment="1" applyProtection="1">
      <alignment horizontal="center" vertical="center" wrapText="1"/>
      <protection locked="0"/>
    </xf>
    <xf numFmtId="49" fontId="15" fillId="4" borderId="15" xfId="0" applyNumberFormat="1" applyFont="1" applyFill="1" applyBorder="1" applyAlignment="1" applyProtection="1">
      <alignment horizontal="center" vertical="center" wrapText="1"/>
      <protection locked="0"/>
    </xf>
    <xf numFmtId="49" fontId="15" fillId="4" borderId="14" xfId="0" applyNumberFormat="1" applyFont="1" applyFill="1" applyBorder="1" applyAlignment="1" applyProtection="1">
      <alignment horizontal="center" vertical="center" wrapText="1"/>
      <protection locked="0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 applyProtection="1">
      <alignment horizontal="center" vertical="center"/>
      <protection locked="0"/>
    </xf>
    <xf numFmtId="0" fontId="4" fillId="4" borderId="19" xfId="0" applyFont="1" applyFill="1" applyBorder="1" applyAlignment="1" applyProtection="1">
      <alignment horizontal="center" vertical="center"/>
      <protection locked="0"/>
    </xf>
    <xf numFmtId="0" fontId="4" fillId="4" borderId="2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4" fillId="4" borderId="13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16" fillId="2" borderId="26" xfId="0" applyFont="1" applyFill="1" applyBorder="1" applyAlignment="1" applyProtection="1">
      <alignment vertical="center"/>
      <protection locked="0"/>
    </xf>
    <xf numFmtId="0" fontId="16" fillId="2" borderId="27" xfId="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 applyProtection="1">
      <alignment vertical="center"/>
      <protection locked="0"/>
    </xf>
    <xf numFmtId="0" fontId="25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6" fillId="2" borderId="31" xfId="0" applyFont="1" applyFill="1" applyBorder="1" applyAlignment="1" applyProtection="1">
      <alignment vertical="center"/>
      <protection locked="0"/>
    </xf>
    <xf numFmtId="0" fontId="16" fillId="2" borderId="29" xfId="0" applyFont="1" applyFill="1" applyBorder="1" applyAlignment="1" applyProtection="1">
      <alignment vertical="center"/>
      <protection locked="0"/>
    </xf>
    <xf numFmtId="0" fontId="16" fillId="2" borderId="29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7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right" vertical="center"/>
    </xf>
    <xf numFmtId="0" fontId="18" fillId="0" borderId="13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41" fillId="5" borderId="7" xfId="0" applyFont="1" applyFill="1" applyBorder="1" applyAlignment="1">
      <alignment horizontal="center" vertical="center"/>
    </xf>
    <xf numFmtId="0" fontId="42" fillId="5" borderId="8" xfId="0" applyFont="1" applyFill="1" applyBorder="1" applyAlignment="1">
      <alignment horizontal="center" vertical="center"/>
    </xf>
    <xf numFmtId="0" fontId="42" fillId="5" borderId="9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right" vertical="center" wrapText="1"/>
    </xf>
    <xf numFmtId="0" fontId="4" fillId="4" borderId="22" xfId="0" applyFont="1" applyFill="1" applyBorder="1" applyAlignment="1" applyProtection="1">
      <alignment horizontal="center" vertical="center"/>
      <protection locked="0"/>
    </xf>
    <xf numFmtId="0" fontId="4" fillId="4" borderId="15" xfId="0" applyFont="1" applyFill="1" applyBorder="1" applyAlignment="1" applyProtection="1">
      <alignment horizontal="center" vertical="center"/>
      <protection locked="0"/>
    </xf>
    <xf numFmtId="0" fontId="4" fillId="4" borderId="21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9" fillId="0" borderId="14" xfId="0" applyFont="1" applyBorder="1" applyAlignment="1">
      <alignment horizontal="right" vertical="center"/>
    </xf>
    <xf numFmtId="0" fontId="15" fillId="2" borderId="7" xfId="0" applyFont="1" applyFill="1" applyBorder="1" applyAlignment="1" applyProtection="1">
      <alignment vertical="center"/>
      <protection locked="0"/>
    </xf>
    <xf numFmtId="0" fontId="15" fillId="2" borderId="8" xfId="0" applyFont="1" applyFill="1" applyBorder="1" applyAlignment="1" applyProtection="1">
      <alignment vertical="center"/>
      <protection locked="0"/>
    </xf>
    <xf numFmtId="0" fontId="15" fillId="2" borderId="9" xfId="0" applyFont="1" applyFill="1" applyBorder="1" applyAlignment="1" applyProtection="1">
      <alignment vertical="center"/>
      <protection locked="0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5" fillId="4" borderId="13" xfId="0" applyFont="1" applyFill="1" applyBorder="1" applyAlignment="1" applyProtection="1">
      <alignment horizontal="center" vertical="center"/>
      <protection locked="0"/>
    </xf>
    <xf numFmtId="0" fontId="15" fillId="4" borderId="21" xfId="0" applyFont="1" applyFill="1" applyBorder="1" applyAlignment="1" applyProtection="1">
      <alignment horizontal="center" vertical="center"/>
      <protection locked="0"/>
    </xf>
    <xf numFmtId="0" fontId="15" fillId="0" borderId="22" xfId="0" applyFont="1" applyBorder="1" applyAlignment="1" applyProtection="1">
      <alignment horizontal="right" vertical="center"/>
      <protection locked="0"/>
    </xf>
    <xf numFmtId="0" fontId="15" fillId="0" borderId="15" xfId="0" applyFont="1" applyBorder="1" applyAlignment="1" applyProtection="1">
      <alignment horizontal="right" vertical="center"/>
      <protection locked="0"/>
    </xf>
    <xf numFmtId="0" fontId="15" fillId="0" borderId="21" xfId="0" applyFont="1" applyBorder="1" applyAlignment="1" applyProtection="1">
      <alignment horizontal="right" vertical="center"/>
      <protection locked="0"/>
    </xf>
    <xf numFmtId="0" fontId="29" fillId="0" borderId="13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14" fontId="15" fillId="2" borderId="13" xfId="0" applyNumberFormat="1" applyFont="1" applyFill="1" applyBorder="1" applyAlignment="1" applyProtection="1">
      <alignment horizontal="center" vertical="center"/>
      <protection locked="0"/>
    </xf>
    <xf numFmtId="1" fontId="15" fillId="4" borderId="13" xfId="0" applyNumberFormat="1" applyFont="1" applyFill="1" applyBorder="1" applyAlignment="1" applyProtection="1">
      <alignment horizontal="center" vertical="center"/>
      <protection locked="0"/>
    </xf>
    <xf numFmtId="1" fontId="15" fillId="4" borderId="15" xfId="0" applyNumberFormat="1" applyFont="1" applyFill="1" applyBorder="1" applyAlignment="1" applyProtection="1">
      <alignment horizontal="center" vertical="center"/>
      <protection locked="0"/>
    </xf>
    <xf numFmtId="1" fontId="15" fillId="4" borderId="14" xfId="0" applyNumberFormat="1" applyFont="1" applyFill="1" applyBorder="1" applyAlignment="1" applyProtection="1">
      <alignment horizontal="center" vertical="center"/>
      <protection locked="0"/>
    </xf>
    <xf numFmtId="0" fontId="15" fillId="0" borderId="15" xfId="0" applyFont="1" applyBorder="1" applyAlignment="1">
      <alignment horizontal="right" vertical="center" wrapText="1"/>
    </xf>
    <xf numFmtId="49" fontId="15" fillId="4" borderId="18" xfId="0" applyNumberFormat="1" applyFont="1" applyFill="1" applyBorder="1" applyAlignment="1" applyProtection="1">
      <alignment horizontal="center" vertical="center"/>
      <protection locked="0"/>
    </xf>
    <xf numFmtId="49" fontId="15" fillId="4" borderId="19" xfId="0" applyNumberFormat="1" applyFont="1" applyFill="1" applyBorder="1" applyAlignment="1" applyProtection="1">
      <alignment horizontal="center" vertical="center"/>
      <protection locked="0"/>
    </xf>
    <xf numFmtId="49" fontId="15" fillId="4" borderId="20" xfId="0" applyNumberFormat="1" applyFont="1" applyFill="1" applyBorder="1" applyAlignment="1" applyProtection="1">
      <alignment horizontal="center" vertical="center"/>
      <protection locked="0"/>
    </xf>
    <xf numFmtId="0" fontId="40" fillId="5" borderId="13" xfId="0" applyFont="1" applyFill="1" applyBorder="1" applyAlignment="1">
      <alignment horizontal="center" vertical="center"/>
    </xf>
    <xf numFmtId="0" fontId="24" fillId="5" borderId="15" xfId="0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horizontal="center" vertical="center"/>
    </xf>
    <xf numFmtId="49" fontId="16" fillId="7" borderId="30" xfId="0" applyNumberFormat="1" applyFont="1" applyFill="1" applyBorder="1" applyAlignment="1">
      <alignment horizontal="center" vertical="center"/>
    </xf>
    <xf numFmtId="49" fontId="16" fillId="7" borderId="27" xfId="0" applyNumberFormat="1" applyFont="1" applyFill="1" applyBorder="1" applyAlignment="1">
      <alignment horizontal="center" vertical="center"/>
    </xf>
    <xf numFmtId="49" fontId="16" fillId="7" borderId="28" xfId="0" applyNumberFormat="1" applyFont="1" applyFill="1" applyBorder="1" applyAlignment="1">
      <alignment horizontal="center" vertical="center"/>
    </xf>
    <xf numFmtId="49" fontId="16" fillId="2" borderId="30" xfId="0" applyNumberFormat="1" applyFont="1" applyFill="1" applyBorder="1" applyAlignment="1" applyProtection="1">
      <alignment horizontal="center" vertical="center"/>
      <protection locked="0"/>
    </xf>
    <xf numFmtId="49" fontId="16" fillId="2" borderId="27" xfId="0" applyNumberFormat="1" applyFont="1" applyFill="1" applyBorder="1" applyAlignment="1" applyProtection="1">
      <alignment horizontal="center" vertical="center"/>
      <protection locked="0"/>
    </xf>
    <xf numFmtId="49" fontId="16" fillId="2" borderId="28" xfId="0" applyNumberFormat="1" applyFont="1" applyFill="1" applyBorder="1" applyAlignment="1" applyProtection="1">
      <alignment horizontal="center" vertical="center"/>
      <protection locked="0"/>
    </xf>
    <xf numFmtId="49" fontId="16" fillId="4" borderId="30" xfId="0" applyNumberFormat="1" applyFont="1" applyFill="1" applyBorder="1" applyAlignment="1" applyProtection="1">
      <alignment horizontal="center" vertical="center"/>
      <protection locked="0"/>
    </xf>
    <xf numFmtId="49" fontId="16" fillId="4" borderId="27" xfId="0" applyNumberFormat="1" applyFont="1" applyFill="1" applyBorder="1" applyAlignment="1" applyProtection="1">
      <alignment horizontal="center" vertical="center"/>
      <protection locked="0"/>
    </xf>
    <xf numFmtId="49" fontId="16" fillId="4" borderId="28" xfId="0" applyNumberFormat="1" applyFont="1" applyFill="1" applyBorder="1" applyAlignment="1" applyProtection="1">
      <alignment horizontal="center" vertical="center"/>
      <protection locked="0"/>
    </xf>
    <xf numFmtId="49" fontId="16" fillId="4" borderId="30" xfId="0" applyNumberFormat="1" applyFont="1" applyFill="1" applyBorder="1" applyAlignment="1" applyProtection="1">
      <alignment horizontal="center"/>
      <protection locked="0"/>
    </xf>
    <xf numFmtId="49" fontId="16" fillId="4" borderId="27" xfId="0" applyNumberFormat="1" applyFont="1" applyFill="1" applyBorder="1" applyAlignment="1" applyProtection="1">
      <alignment horizontal="center"/>
      <protection locked="0"/>
    </xf>
    <xf numFmtId="49" fontId="16" fillId="4" borderId="28" xfId="0" applyNumberFormat="1" applyFont="1" applyFill="1" applyBorder="1" applyAlignment="1" applyProtection="1">
      <alignment horizontal="center"/>
      <protection locked="0"/>
    </xf>
    <xf numFmtId="49" fontId="16" fillId="7" borderId="29" xfId="0" applyNumberFormat="1" applyFont="1" applyFill="1" applyBorder="1" applyAlignment="1">
      <alignment horizontal="center" vertical="center"/>
    </xf>
    <xf numFmtId="0" fontId="16" fillId="4" borderId="10" xfId="0" applyFont="1" applyFill="1" applyBorder="1" applyAlignment="1" applyProtection="1">
      <alignment horizontal="left" vertical="center"/>
      <protection locked="0"/>
    </xf>
    <xf numFmtId="0" fontId="16" fillId="4" borderId="11" xfId="0" applyFont="1" applyFill="1" applyBorder="1" applyAlignment="1" applyProtection="1">
      <alignment horizontal="left" vertical="center"/>
      <protection locked="0"/>
    </xf>
    <xf numFmtId="0" fontId="16" fillId="4" borderId="12" xfId="0" applyFont="1" applyFill="1" applyBorder="1" applyAlignment="1" applyProtection="1">
      <alignment horizontal="left" vertical="center"/>
      <protection locked="0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9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" fontId="20" fillId="4" borderId="13" xfId="3" applyNumberFormat="1" applyFont="1" applyFill="1" applyBorder="1" applyAlignment="1" applyProtection="1">
      <alignment horizontal="center" vertical="center" wrapText="1"/>
      <protection locked="0"/>
    </xf>
    <xf numFmtId="4" fontId="20" fillId="4" borderId="15" xfId="3" applyNumberFormat="1" applyFont="1" applyFill="1" applyBorder="1" applyAlignment="1" applyProtection="1">
      <alignment horizontal="center" vertical="center" wrapText="1"/>
      <protection locked="0"/>
    </xf>
    <xf numFmtId="4" fontId="20" fillId="4" borderId="14" xfId="3" applyNumberFormat="1" applyFont="1" applyFill="1" applyBorder="1" applyAlignment="1" applyProtection="1">
      <alignment horizontal="center" vertical="center" wrapText="1"/>
      <protection locked="0"/>
    </xf>
    <xf numFmtId="0" fontId="8" fillId="0" borderId="15" xfId="0" applyFont="1" applyBorder="1" applyAlignment="1">
      <alignment horizontal="center" vertical="center"/>
    </xf>
    <xf numFmtId="0" fontId="15" fillId="0" borderId="4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5" fillId="0" borderId="5" xfId="0" applyFont="1" applyBorder="1" applyAlignment="1">
      <alignment horizontal="right" vertical="center"/>
    </xf>
    <xf numFmtId="0" fontId="17" fillId="4" borderId="13" xfId="0" applyFont="1" applyFill="1" applyBorder="1" applyAlignment="1" applyProtection="1">
      <alignment horizontal="center" vertical="center"/>
      <protection locked="0"/>
    </xf>
    <xf numFmtId="0" fontId="17" fillId="4" borderId="15" xfId="0" applyFont="1" applyFill="1" applyBorder="1" applyAlignment="1" applyProtection="1">
      <alignment horizontal="center" vertical="center"/>
      <protection locked="0"/>
    </xf>
    <xf numFmtId="0" fontId="17" fillId="4" borderId="14" xfId="0" applyFont="1" applyFill="1" applyBorder="1" applyAlignment="1" applyProtection="1">
      <alignment horizontal="center" vertical="center"/>
      <protection locked="0"/>
    </xf>
    <xf numFmtId="0" fontId="6" fillId="4" borderId="13" xfId="0" applyFont="1" applyFill="1" applyBorder="1" applyAlignment="1" applyProtection="1">
      <alignment horizontal="center" vertical="center"/>
      <protection locked="0"/>
    </xf>
    <xf numFmtId="0" fontId="6" fillId="4" borderId="15" xfId="0" applyFont="1" applyFill="1" applyBorder="1" applyAlignment="1" applyProtection="1">
      <alignment horizontal="center" vertical="center"/>
      <protection locked="0"/>
    </xf>
    <xf numFmtId="0" fontId="6" fillId="4" borderId="14" xfId="0" applyFont="1" applyFill="1" applyBorder="1" applyAlignment="1" applyProtection="1">
      <alignment horizontal="center" vertical="center"/>
      <protection locked="0"/>
    </xf>
    <xf numFmtId="0" fontId="38" fillId="0" borderId="13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16" fillId="4" borderId="29" xfId="0" applyFont="1" applyFill="1" applyBorder="1" applyAlignment="1" applyProtection="1">
      <alignment horizontal="left" vertical="center"/>
      <protection locked="0"/>
    </xf>
    <xf numFmtId="0" fontId="16" fillId="4" borderId="29" xfId="0" applyFont="1" applyFill="1" applyBorder="1" applyProtection="1">
      <protection locked="0"/>
    </xf>
  </cellXfs>
  <cellStyles count="5">
    <cellStyle name="Comma" xfId="3" builtinId="3"/>
    <cellStyle name="Hyperlink" xfId="4" builtinId="8"/>
    <cellStyle name="Normal" xfId="0" builtinId="0"/>
    <cellStyle name="Normal 2" xfId="2" xr:uid="{00000000-0005-0000-0000-000002000000}"/>
    <cellStyle name="Normal 3" xfId="1" xr:uid="{00000000-0005-0000-0000-000003000000}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0</xdr:row>
      <xdr:rowOff>219075</xdr:rowOff>
    </xdr:from>
    <xdr:to>
      <xdr:col>2</xdr:col>
      <xdr:colOff>326893</xdr:colOff>
      <xdr:row>0</xdr:row>
      <xdr:rowOff>1173004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A8E192-E8B6-C775-FBDE-B31B8B3E88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8" t="5081" r="60311" b="88679"/>
        <a:stretch/>
      </xdr:blipFill>
      <xdr:spPr>
        <a:xfrm>
          <a:off x="238126" y="219075"/>
          <a:ext cx="3638550" cy="953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ranzafarcs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BI96"/>
  <sheetViews>
    <sheetView showGridLines="0" tabSelected="1" zoomScale="70" zoomScaleNormal="70" workbookViewId="0">
      <selection activeCell="A2" sqref="A2:AS2"/>
    </sheetView>
  </sheetViews>
  <sheetFormatPr defaultColWidth="0" defaultRowHeight="12.75" zeroHeight="1" x14ac:dyDescent="0.2"/>
  <cols>
    <col min="1" max="1" width="4.28515625" style="11" customWidth="1"/>
    <col min="2" max="2" width="49" style="9" customWidth="1"/>
    <col min="3" max="3" width="8.5703125" style="9" customWidth="1"/>
    <col min="4" max="6" width="2.85546875" style="9" customWidth="1"/>
    <col min="7" max="8" width="2.7109375" style="9" customWidth="1"/>
    <col min="9" max="9" width="0" style="9" hidden="1" customWidth="1"/>
    <col min="10" max="16" width="2.85546875" style="9" customWidth="1"/>
    <col min="17" max="18" width="4.28515625" style="9" customWidth="1"/>
    <col min="19" max="19" width="0.85546875" style="9" customWidth="1"/>
    <col min="20" max="21" width="2.7109375" style="9" customWidth="1"/>
    <col min="22" max="22" width="2.140625" style="9" customWidth="1"/>
    <col min="23" max="23" width="8.5703125" style="9" customWidth="1"/>
    <col min="24" max="24" width="4.28515625" style="9" customWidth="1"/>
    <col min="25" max="25" width="2.7109375" style="9" customWidth="1"/>
    <col min="26" max="26" width="18.85546875" style="9" customWidth="1"/>
    <col min="27" max="27" width="4.28515625" style="9" customWidth="1"/>
    <col min="28" max="28" width="5" style="9" customWidth="1"/>
    <col min="29" max="29" width="0.85546875" style="9" customWidth="1"/>
    <col min="30" max="32" width="2.7109375" style="9" customWidth="1"/>
    <col min="33" max="33" width="3.7109375" style="9" customWidth="1"/>
    <col min="34" max="34" width="2.7109375" style="9" customWidth="1"/>
    <col min="35" max="36" width="3.5703125" style="9" customWidth="1"/>
    <col min="37" max="37" width="2.7109375" style="9" customWidth="1"/>
    <col min="38" max="38" width="3.7109375" style="9" customWidth="1"/>
    <col min="39" max="39" width="6.5703125" style="9" customWidth="1"/>
    <col min="40" max="40" width="6" style="9" customWidth="1"/>
    <col min="41" max="41" width="7.85546875" style="9" customWidth="1"/>
    <col min="42" max="42" width="18.42578125" style="9" customWidth="1"/>
    <col min="43" max="43" width="1.7109375" style="9" customWidth="1"/>
    <col min="44" max="44" width="14.28515625" style="19" customWidth="1"/>
    <col min="45" max="45" width="27" style="10" customWidth="1"/>
    <col min="46" max="6143" width="0" hidden="1" customWidth="1"/>
    <col min="6144" max="6144" width="2.28515625" hidden="1" customWidth="1"/>
    <col min="6145" max="6145" width="3.7109375" hidden="1" customWidth="1"/>
    <col min="6146" max="16384" width="9.140625" hidden="1"/>
  </cols>
  <sheetData>
    <row r="1" spans="1:51" ht="100.5" customHeight="1" thickBot="1" x14ac:dyDescent="0.25">
      <c r="A1" s="202" t="s">
        <v>18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4"/>
      <c r="AY1" s="1"/>
    </row>
    <row r="2" spans="1:51" ht="99" customHeight="1" thickBot="1" x14ac:dyDescent="0.25">
      <c r="A2" s="175" t="s">
        <v>323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7"/>
    </row>
    <row r="3" spans="1:51" ht="15.75" customHeight="1" thickBot="1" x14ac:dyDescent="0.25">
      <c r="A3" s="39"/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3"/>
      <c r="Z3" s="13"/>
      <c r="AA3" s="13"/>
      <c r="AB3" s="13"/>
      <c r="AC3" s="13"/>
      <c r="AD3" s="14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14"/>
      <c r="AP3" s="160"/>
      <c r="AQ3" s="160"/>
      <c r="AR3" s="160"/>
      <c r="AS3" s="160"/>
      <c r="AT3" s="160"/>
      <c r="AU3" s="160"/>
    </row>
    <row r="4" spans="1:51" ht="36.75" customHeight="1" thickBot="1" x14ac:dyDescent="0.25">
      <c r="A4" s="77" t="s">
        <v>21</v>
      </c>
      <c r="B4" s="178"/>
      <c r="C4" s="210">
        <v>45633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4"/>
    </row>
    <row r="5" spans="1:51" ht="36.75" customHeight="1" thickBot="1" x14ac:dyDescent="0.25">
      <c r="A5" s="179" t="s">
        <v>19</v>
      </c>
      <c r="B5" s="178"/>
      <c r="C5" s="112" t="s">
        <v>329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4"/>
    </row>
    <row r="6" spans="1:51" ht="36.75" customHeight="1" thickBot="1" x14ac:dyDescent="0.25">
      <c r="A6" s="179" t="s">
        <v>20</v>
      </c>
      <c r="B6" s="178"/>
      <c r="C6" s="112" t="s">
        <v>330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4"/>
    </row>
    <row r="7" spans="1:51" ht="36.75" customHeight="1" thickBot="1" x14ac:dyDescent="0.25">
      <c r="A7" s="77" t="s">
        <v>74</v>
      </c>
      <c r="B7" s="111"/>
      <c r="C7" s="112" t="s">
        <v>331</v>
      </c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4"/>
    </row>
    <row r="8" spans="1:51" ht="36.75" customHeight="1" thickBot="1" x14ac:dyDescent="0.25">
      <c r="A8" s="77" t="s">
        <v>43</v>
      </c>
      <c r="B8" s="111"/>
      <c r="C8" s="191" t="s">
        <v>332</v>
      </c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3"/>
      <c r="R8" s="14"/>
      <c r="S8" s="158"/>
      <c r="T8" s="158"/>
      <c r="U8" s="158"/>
      <c r="V8" s="158"/>
      <c r="W8" s="158"/>
      <c r="X8" s="158"/>
      <c r="Y8" s="158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58"/>
      <c r="AP8" s="158"/>
      <c r="AQ8" s="158"/>
      <c r="AR8" s="158"/>
      <c r="AS8" s="159"/>
    </row>
    <row r="9" spans="1:51" ht="36.75" customHeight="1" thickBot="1" x14ac:dyDescent="0.25">
      <c r="A9" s="107" t="s">
        <v>22</v>
      </c>
      <c r="B9" s="108"/>
      <c r="C9" s="128" t="s">
        <v>333</v>
      </c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9"/>
      <c r="AC9" s="8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12"/>
      <c r="AS9" s="15"/>
    </row>
    <row r="10" spans="1:51" ht="36.75" customHeight="1" thickBot="1" x14ac:dyDescent="0.25">
      <c r="A10" s="107" t="s">
        <v>23</v>
      </c>
      <c r="B10" s="108"/>
      <c r="C10" s="117" t="s">
        <v>334</v>
      </c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9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42"/>
      <c r="AS10" s="15"/>
    </row>
    <row r="11" spans="1:51" ht="36.75" customHeight="1" thickBot="1" x14ac:dyDescent="0.25">
      <c r="A11" s="107" t="s">
        <v>86</v>
      </c>
      <c r="B11" s="108"/>
      <c r="C11" s="211">
        <v>50036860</v>
      </c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3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42"/>
      <c r="AS11" s="15"/>
    </row>
    <row r="12" spans="1:51" ht="36.75" customHeight="1" thickBot="1" x14ac:dyDescent="0.25">
      <c r="A12" s="77" t="s">
        <v>325</v>
      </c>
      <c r="B12" s="111"/>
      <c r="C12" s="112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4"/>
    </row>
    <row r="13" spans="1:51" ht="19.5" customHeight="1" x14ac:dyDescent="0.2">
      <c r="A13" s="43"/>
      <c r="B13" s="44"/>
      <c r="C13" s="45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7"/>
      <c r="AD13" s="47"/>
      <c r="AE13" s="47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42"/>
      <c r="AS13" s="15"/>
    </row>
    <row r="14" spans="1:51" s="72" customFormat="1" ht="27" customHeight="1" thickBot="1" x14ac:dyDescent="0.35">
      <c r="A14" s="182" t="s">
        <v>324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4"/>
    </row>
    <row r="15" spans="1:51" ht="11.25" customHeight="1" thickBot="1" x14ac:dyDescent="0.25">
      <c r="A15" s="205"/>
      <c r="B15" s="206"/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7"/>
    </row>
    <row r="16" spans="1:51" ht="29.25" customHeight="1" thickBot="1" x14ac:dyDescent="0.25">
      <c r="A16" s="194" t="s">
        <v>319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6"/>
    </row>
    <row r="17" spans="1:50" ht="11.25" customHeight="1" thickBot="1" x14ac:dyDescent="0.45">
      <c r="A17" s="48"/>
      <c r="I17" s="14"/>
      <c r="J17" s="14"/>
      <c r="K17" s="14"/>
      <c r="L17" s="49"/>
      <c r="N17" s="14"/>
      <c r="O17" s="14"/>
      <c r="P17" s="50"/>
    </row>
    <row r="18" spans="1:50" ht="35.25" customHeight="1" thickBot="1" x14ac:dyDescent="0.25">
      <c r="A18" s="179" t="s">
        <v>24</v>
      </c>
      <c r="B18" s="190"/>
      <c r="C18" s="197" t="s">
        <v>335</v>
      </c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2"/>
      <c r="AT18" s="2"/>
    </row>
    <row r="19" spans="1:50" ht="11.25" customHeight="1" thickBot="1" x14ac:dyDescent="0.25">
      <c r="A19" s="48"/>
      <c r="B19" s="56"/>
      <c r="C19" s="57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9"/>
      <c r="X19" s="59"/>
      <c r="Y19" s="59"/>
      <c r="Z19" s="59"/>
      <c r="AA19" s="59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1"/>
    </row>
    <row r="20" spans="1:50" ht="35.25" customHeight="1" thickBot="1" x14ac:dyDescent="0.45">
      <c r="A20" s="107" t="s">
        <v>44</v>
      </c>
      <c r="B20" s="185"/>
      <c r="C20" s="20">
        <v>2</v>
      </c>
      <c r="D20" s="186">
        <v>8</v>
      </c>
      <c r="E20" s="187"/>
      <c r="F20" s="188"/>
      <c r="G20" s="186">
        <v>4</v>
      </c>
      <c r="H20" s="187"/>
      <c r="I20" s="187"/>
      <c r="J20" s="188"/>
      <c r="K20" s="186">
        <v>8</v>
      </c>
      <c r="L20" s="187"/>
      <c r="M20" s="188"/>
      <c r="N20" s="186">
        <v>9</v>
      </c>
      <c r="O20" s="187"/>
      <c r="P20" s="188"/>
      <c r="Q20" s="186">
        <v>2</v>
      </c>
      <c r="R20" s="188"/>
      <c r="S20" s="186">
        <v>9</v>
      </c>
      <c r="T20" s="187"/>
      <c r="U20" s="187"/>
      <c r="V20" s="188"/>
      <c r="W20" s="21">
        <v>0</v>
      </c>
      <c r="X20" s="189"/>
      <c r="Y20" s="189"/>
      <c r="Z20" s="181"/>
      <c r="AA20" s="181"/>
      <c r="AB20" s="181"/>
      <c r="AC20" s="181"/>
      <c r="AD20" s="181"/>
      <c r="AE20" s="65"/>
      <c r="AF20" s="82"/>
      <c r="AG20" s="82"/>
      <c r="AH20" s="82"/>
      <c r="AI20" s="82"/>
      <c r="AJ20" s="12"/>
      <c r="AK20" s="82"/>
      <c r="AL20" s="82"/>
      <c r="AM20" s="82"/>
      <c r="AN20" s="82"/>
      <c r="AO20" s="12"/>
      <c r="AP20" s="12"/>
      <c r="AQ20" s="82"/>
      <c r="AR20" s="82"/>
      <c r="AS20" s="66"/>
      <c r="AT20" s="4"/>
      <c r="AU20" s="4"/>
      <c r="AV20" s="4"/>
      <c r="AW20" s="4"/>
      <c r="AX20" s="4"/>
    </row>
    <row r="21" spans="1:50" ht="11.25" customHeight="1" thickBot="1" x14ac:dyDescent="0.45">
      <c r="A21" s="180"/>
      <c r="B21" s="181"/>
      <c r="C21" s="1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129"/>
      <c r="R21" s="129"/>
      <c r="S21" s="189"/>
      <c r="T21" s="189"/>
      <c r="U21" s="189"/>
      <c r="V21" s="189"/>
      <c r="W21" s="64"/>
      <c r="X21" s="64"/>
      <c r="Y21" s="64"/>
      <c r="Z21" s="63"/>
      <c r="AA21" s="63"/>
      <c r="AB21" s="63"/>
      <c r="AC21" s="63"/>
      <c r="AD21" s="63"/>
      <c r="AE21" s="65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66"/>
      <c r="AT21" s="4"/>
      <c r="AU21" s="4"/>
      <c r="AV21" s="4"/>
      <c r="AW21" s="4"/>
      <c r="AX21" s="4"/>
    </row>
    <row r="22" spans="1:50" ht="35.25" customHeight="1" thickBot="1" x14ac:dyDescent="0.45">
      <c r="A22" s="107" t="s">
        <v>45</v>
      </c>
      <c r="B22" s="185"/>
      <c r="C22" s="22">
        <v>0</v>
      </c>
      <c r="D22" s="156">
        <v>7</v>
      </c>
      <c r="E22" s="156"/>
      <c r="F22" s="157"/>
      <c r="G22" s="82"/>
      <c r="H22" s="82"/>
      <c r="I22" s="82"/>
      <c r="J22" s="82"/>
      <c r="K22" s="155">
        <v>0</v>
      </c>
      <c r="L22" s="156"/>
      <c r="M22" s="156"/>
      <c r="N22" s="156">
        <v>8</v>
      </c>
      <c r="O22" s="156"/>
      <c r="P22" s="157"/>
      <c r="Q22" s="126"/>
      <c r="R22" s="126"/>
      <c r="S22" s="155">
        <v>0</v>
      </c>
      <c r="T22" s="156"/>
      <c r="U22" s="156"/>
      <c r="V22" s="156"/>
      <c r="W22" s="21">
        <v>6</v>
      </c>
      <c r="X22" s="64"/>
      <c r="Y22" s="64"/>
      <c r="Z22" s="63"/>
      <c r="AA22" s="63"/>
      <c r="AB22" s="63"/>
      <c r="AC22" s="63"/>
      <c r="AD22" s="63"/>
      <c r="AE22" s="65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66"/>
      <c r="AT22" s="4"/>
      <c r="AU22" s="4"/>
      <c r="AV22" s="4"/>
      <c r="AW22" s="4"/>
      <c r="AX22" s="4"/>
    </row>
    <row r="23" spans="1:50" ht="11.25" customHeight="1" thickBot="1" x14ac:dyDescent="0.45">
      <c r="A23" s="62"/>
      <c r="B23" s="63"/>
      <c r="C23" s="63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8"/>
      <c r="AA23" s="68"/>
      <c r="AB23" s="68"/>
      <c r="AC23" s="68"/>
      <c r="AD23" s="68"/>
      <c r="AE23" s="69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1"/>
      <c r="AR23" s="70"/>
      <c r="AS23" s="66"/>
      <c r="AT23" s="4"/>
      <c r="AU23" s="4"/>
      <c r="AV23" s="4"/>
      <c r="AW23" s="4"/>
      <c r="AX23" s="4"/>
    </row>
    <row r="24" spans="1:50" ht="27" customHeight="1" thickBot="1" x14ac:dyDescent="0.25">
      <c r="A24" s="218" t="s">
        <v>322</v>
      </c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20"/>
    </row>
    <row r="25" spans="1:50" ht="11.25" customHeight="1" thickBot="1" x14ac:dyDescent="0.25">
      <c r="A25" s="130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208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  <c r="AN25" s="208"/>
      <c r="AO25" s="208"/>
      <c r="AP25" s="208"/>
      <c r="AQ25" s="208"/>
      <c r="AR25" s="208"/>
      <c r="AS25" s="209"/>
    </row>
    <row r="26" spans="1:50" ht="27.75" customHeight="1" thickBot="1" x14ac:dyDescent="0.25">
      <c r="A26" s="194" t="s">
        <v>320</v>
      </c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6"/>
    </row>
    <row r="27" spans="1:50" ht="11.25" customHeight="1" thickBot="1" x14ac:dyDescent="0.25">
      <c r="A27" s="130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2"/>
    </row>
    <row r="28" spans="1:50" ht="45" customHeight="1" thickBot="1" x14ac:dyDescent="0.25">
      <c r="A28" s="107" t="s">
        <v>25</v>
      </c>
      <c r="B28" s="214"/>
      <c r="C28" s="123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5"/>
    </row>
    <row r="29" spans="1:50" ht="45" customHeight="1" thickBot="1" x14ac:dyDescent="0.25">
      <c r="A29" s="107" t="s">
        <v>26</v>
      </c>
      <c r="B29" s="214"/>
      <c r="C29" s="123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5"/>
    </row>
    <row r="30" spans="1:50" ht="45" customHeight="1" thickBot="1" x14ac:dyDescent="0.25">
      <c r="A30" s="77" t="s">
        <v>80</v>
      </c>
      <c r="B30" s="78"/>
      <c r="C30" s="215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  <c r="AI30" s="216"/>
      <c r="AJ30" s="216"/>
      <c r="AK30" s="216"/>
      <c r="AL30" s="216"/>
      <c r="AM30" s="216"/>
      <c r="AN30" s="216"/>
      <c r="AO30" s="216"/>
      <c r="AP30" s="216"/>
      <c r="AQ30" s="216"/>
      <c r="AR30" s="216"/>
      <c r="AS30" s="217"/>
      <c r="AT30" s="2"/>
    </row>
    <row r="31" spans="1:50" ht="45" customHeight="1" thickBot="1" x14ac:dyDescent="0.25">
      <c r="A31" s="77" t="s">
        <v>27</v>
      </c>
      <c r="B31" s="78"/>
      <c r="C31" s="123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5"/>
      <c r="AT31" s="2"/>
    </row>
    <row r="32" spans="1:50" ht="45" customHeight="1" thickBot="1" x14ac:dyDescent="0.25">
      <c r="A32" s="77" t="s">
        <v>28</v>
      </c>
      <c r="B32" s="78"/>
      <c r="C32" s="123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5"/>
      <c r="AT32" s="2"/>
    </row>
    <row r="33" spans="1:49" ht="45" customHeight="1" thickBot="1" x14ac:dyDescent="0.25">
      <c r="A33" s="107" t="s">
        <v>315</v>
      </c>
      <c r="B33" s="214"/>
      <c r="C33" s="197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98"/>
      <c r="AA33" s="199" t="s">
        <v>314</v>
      </c>
      <c r="AB33" s="200"/>
      <c r="AC33" s="200"/>
      <c r="AD33" s="200"/>
      <c r="AE33" s="200"/>
      <c r="AF33" s="200"/>
      <c r="AG33" s="200"/>
      <c r="AH33" s="200"/>
      <c r="AI33" s="200"/>
      <c r="AJ33" s="200"/>
      <c r="AK33" s="200"/>
      <c r="AL33" s="200"/>
      <c r="AM33" s="201"/>
      <c r="AN33" s="120"/>
      <c r="AO33" s="121"/>
      <c r="AP33" s="121"/>
      <c r="AQ33" s="121"/>
      <c r="AR33" s="121"/>
      <c r="AS33" s="122"/>
      <c r="AT33" s="2"/>
    </row>
    <row r="34" spans="1:49" ht="45" customHeight="1" thickBot="1" x14ac:dyDescent="0.3">
      <c r="A34" s="77" t="s">
        <v>317</v>
      </c>
      <c r="B34" s="78"/>
      <c r="C34" s="149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1"/>
      <c r="AT34" s="3"/>
      <c r="AU34" s="3"/>
      <c r="AV34" s="3"/>
      <c r="AW34" s="3"/>
    </row>
    <row r="35" spans="1:49" ht="45" customHeight="1" thickBot="1" x14ac:dyDescent="0.3">
      <c r="A35" s="107" t="s">
        <v>313</v>
      </c>
      <c r="B35" s="108"/>
      <c r="C35" s="152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4"/>
      <c r="AT35" s="3"/>
      <c r="AU35" s="3"/>
      <c r="AV35" s="3"/>
      <c r="AW35" s="3"/>
    </row>
    <row r="36" spans="1:49" ht="11.25" customHeight="1" x14ac:dyDescent="0.25">
      <c r="A36" s="133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5"/>
      <c r="AT36" s="3"/>
      <c r="AU36" s="3"/>
      <c r="AV36" s="3"/>
      <c r="AW36" s="3"/>
    </row>
    <row r="37" spans="1:49" ht="24" customHeight="1" thickBot="1" x14ac:dyDescent="0.3">
      <c r="A37" s="139" t="s">
        <v>30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1"/>
      <c r="AT37" s="3"/>
      <c r="AU37" s="3"/>
      <c r="AV37" s="3"/>
      <c r="AW37" s="3"/>
    </row>
    <row r="38" spans="1:49" ht="8.25" customHeight="1" thickBot="1" x14ac:dyDescent="0.3">
      <c r="A38" s="267"/>
      <c r="B38" s="268"/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  <c r="AA38" s="268"/>
      <c r="AB38" s="268"/>
      <c r="AC38" s="268"/>
      <c r="AD38" s="268"/>
      <c r="AE38" s="268"/>
      <c r="AF38" s="268"/>
      <c r="AG38" s="268"/>
      <c r="AH38" s="268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269"/>
      <c r="AT38" s="3"/>
      <c r="AU38" s="3"/>
      <c r="AV38" s="3"/>
      <c r="AW38" s="3"/>
    </row>
    <row r="39" spans="1:49" ht="24" customHeight="1" thickBot="1" x14ac:dyDescent="0.3">
      <c r="A39" s="264" t="s">
        <v>321</v>
      </c>
      <c r="B39" s="26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5"/>
      <c r="AK39" s="265"/>
      <c r="AL39" s="265"/>
      <c r="AM39" s="265"/>
      <c r="AN39" s="265"/>
      <c r="AO39" s="265"/>
      <c r="AP39" s="265"/>
      <c r="AQ39" s="265"/>
      <c r="AR39" s="265"/>
      <c r="AS39" s="266"/>
      <c r="AT39" s="3"/>
      <c r="AU39" s="3"/>
      <c r="AV39" s="3"/>
      <c r="AW39" s="3"/>
    </row>
    <row r="40" spans="1:49" ht="8.25" customHeight="1" thickBot="1" x14ac:dyDescent="0.3">
      <c r="A40" s="136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8"/>
      <c r="AT40" s="3"/>
      <c r="AU40" s="3"/>
      <c r="AV40" s="3"/>
      <c r="AW40" s="3"/>
    </row>
    <row r="41" spans="1:49" ht="41.25" customHeight="1" x14ac:dyDescent="0.2">
      <c r="A41" s="142" t="s">
        <v>8</v>
      </c>
      <c r="B41" s="143"/>
      <c r="C41" s="143"/>
      <c r="D41" s="143"/>
      <c r="E41" s="143"/>
      <c r="F41" s="143"/>
      <c r="G41" s="143"/>
      <c r="H41" s="143"/>
      <c r="I41" s="144"/>
      <c r="J41" s="51"/>
      <c r="K41" s="145" t="s">
        <v>0</v>
      </c>
      <c r="L41" s="146"/>
      <c r="M41" s="146"/>
      <c r="N41" s="146"/>
      <c r="O41" s="146"/>
      <c r="P41" s="147"/>
      <c r="Q41" s="145" t="s">
        <v>1</v>
      </c>
      <c r="R41" s="146"/>
      <c r="S41" s="146"/>
      <c r="T41" s="146"/>
      <c r="U41" s="147"/>
      <c r="V41" s="145" t="s">
        <v>2</v>
      </c>
      <c r="W41" s="146"/>
      <c r="X41" s="146"/>
      <c r="Y41" s="147"/>
      <c r="Z41" s="145" t="s">
        <v>3</v>
      </c>
      <c r="AA41" s="146"/>
      <c r="AB41" s="147"/>
      <c r="AC41" s="148" t="s">
        <v>4</v>
      </c>
      <c r="AD41" s="146"/>
      <c r="AE41" s="146"/>
      <c r="AF41" s="146"/>
      <c r="AG41" s="146"/>
      <c r="AH41" s="147"/>
      <c r="AI41" s="145" t="s">
        <v>61</v>
      </c>
      <c r="AJ41" s="146"/>
      <c r="AK41" s="146"/>
      <c r="AL41" s="146"/>
      <c r="AM41" s="147"/>
      <c r="AN41" s="145" t="s">
        <v>62</v>
      </c>
      <c r="AO41" s="146"/>
      <c r="AP41" s="146"/>
      <c r="AQ41" s="51"/>
      <c r="AR41" s="52" t="s">
        <v>85</v>
      </c>
      <c r="AS41" s="52" t="s">
        <v>17</v>
      </c>
    </row>
    <row r="42" spans="1:49" s="6" customFormat="1" ht="23.25" x14ac:dyDescent="0.35">
      <c r="A42" s="109"/>
      <c r="B42" s="110"/>
      <c r="C42" s="110"/>
      <c r="D42" s="110"/>
      <c r="E42" s="110"/>
      <c r="F42" s="110"/>
      <c r="G42" s="110"/>
      <c r="H42" s="110"/>
      <c r="I42" s="110"/>
      <c r="J42" s="16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6"/>
      <c r="W42" s="116"/>
      <c r="X42" s="116"/>
      <c r="Y42" s="116"/>
      <c r="Z42" s="127"/>
      <c r="AA42" s="127"/>
      <c r="AB42" s="127"/>
      <c r="AC42" s="116"/>
      <c r="AD42" s="116"/>
      <c r="AE42" s="116"/>
      <c r="AF42" s="116"/>
      <c r="AG42" s="116"/>
      <c r="AH42" s="116"/>
      <c r="AI42" s="103" t="s">
        <v>64</v>
      </c>
      <c r="AJ42" s="103"/>
      <c r="AK42" s="103"/>
      <c r="AL42" s="103"/>
      <c r="AM42" s="103"/>
      <c r="AN42" s="104" t="s">
        <v>63</v>
      </c>
      <c r="AO42" s="105"/>
      <c r="AP42" s="106"/>
      <c r="AQ42" s="53"/>
      <c r="AR42" s="36"/>
      <c r="AS42" s="35"/>
    </row>
    <row r="43" spans="1:49" s="6" customFormat="1" ht="23.25" x14ac:dyDescent="0.35">
      <c r="A43" s="109"/>
      <c r="B43" s="110"/>
      <c r="C43" s="110"/>
      <c r="D43" s="110"/>
      <c r="E43" s="110"/>
      <c r="F43" s="110"/>
      <c r="G43" s="110"/>
      <c r="H43" s="110"/>
      <c r="I43" s="110"/>
      <c r="J43" s="16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6"/>
      <c r="W43" s="116"/>
      <c r="X43" s="116"/>
      <c r="Y43" s="116"/>
      <c r="Z43" s="127"/>
      <c r="AA43" s="127"/>
      <c r="AB43" s="127"/>
      <c r="AC43" s="116"/>
      <c r="AD43" s="116"/>
      <c r="AE43" s="116"/>
      <c r="AF43" s="116"/>
      <c r="AG43" s="116"/>
      <c r="AH43" s="116"/>
      <c r="AI43" s="103" t="s">
        <v>64</v>
      </c>
      <c r="AJ43" s="103"/>
      <c r="AK43" s="103"/>
      <c r="AL43" s="103"/>
      <c r="AM43" s="103"/>
      <c r="AN43" s="104" t="s">
        <v>63</v>
      </c>
      <c r="AO43" s="105"/>
      <c r="AP43" s="106"/>
      <c r="AQ43" s="53"/>
      <c r="AR43" s="36"/>
      <c r="AS43" s="35"/>
    </row>
    <row r="44" spans="1:49" s="6" customFormat="1" ht="23.25" x14ac:dyDescent="0.35">
      <c r="A44" s="109"/>
      <c r="B44" s="110"/>
      <c r="C44" s="110"/>
      <c r="D44" s="110"/>
      <c r="E44" s="110"/>
      <c r="F44" s="110"/>
      <c r="G44" s="110"/>
      <c r="H44" s="110"/>
      <c r="I44" s="110"/>
      <c r="J44" s="16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6"/>
      <c r="W44" s="116"/>
      <c r="X44" s="116"/>
      <c r="Y44" s="116"/>
      <c r="Z44" s="127"/>
      <c r="AA44" s="127"/>
      <c r="AB44" s="127"/>
      <c r="AC44" s="116"/>
      <c r="AD44" s="116"/>
      <c r="AE44" s="116"/>
      <c r="AF44" s="116"/>
      <c r="AG44" s="116"/>
      <c r="AH44" s="116"/>
      <c r="AI44" s="103" t="s">
        <v>64</v>
      </c>
      <c r="AJ44" s="103"/>
      <c r="AK44" s="103"/>
      <c r="AL44" s="103"/>
      <c r="AM44" s="103"/>
      <c r="AN44" s="104" t="s">
        <v>63</v>
      </c>
      <c r="AO44" s="105"/>
      <c r="AP44" s="106"/>
      <c r="AQ44" s="53"/>
      <c r="AR44" s="36"/>
      <c r="AS44" s="35"/>
    </row>
    <row r="45" spans="1:49" s="6" customFormat="1" ht="23.25" x14ac:dyDescent="0.35">
      <c r="A45" s="109"/>
      <c r="B45" s="110"/>
      <c r="C45" s="110"/>
      <c r="D45" s="110"/>
      <c r="E45" s="110"/>
      <c r="F45" s="110"/>
      <c r="G45" s="110"/>
      <c r="H45" s="110"/>
      <c r="I45" s="110"/>
      <c r="J45" s="16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6"/>
      <c r="W45" s="116"/>
      <c r="X45" s="116"/>
      <c r="Y45" s="116"/>
      <c r="Z45" s="127"/>
      <c r="AA45" s="127"/>
      <c r="AB45" s="127"/>
      <c r="AC45" s="116"/>
      <c r="AD45" s="116"/>
      <c r="AE45" s="116"/>
      <c r="AF45" s="116"/>
      <c r="AG45" s="116"/>
      <c r="AH45" s="116"/>
      <c r="AI45" s="103" t="s">
        <v>64</v>
      </c>
      <c r="AJ45" s="103"/>
      <c r="AK45" s="103"/>
      <c r="AL45" s="103"/>
      <c r="AM45" s="103"/>
      <c r="AN45" s="104" t="s">
        <v>63</v>
      </c>
      <c r="AO45" s="105"/>
      <c r="AP45" s="106"/>
      <c r="AQ45" s="53"/>
      <c r="AR45" s="36"/>
      <c r="AS45" s="35"/>
    </row>
    <row r="46" spans="1:49" s="6" customFormat="1" ht="23.25" x14ac:dyDescent="0.35">
      <c r="A46" s="109"/>
      <c r="B46" s="110"/>
      <c r="C46" s="110"/>
      <c r="D46" s="110"/>
      <c r="E46" s="110"/>
      <c r="F46" s="110"/>
      <c r="G46" s="110"/>
      <c r="H46" s="110"/>
      <c r="I46" s="110"/>
      <c r="J46" s="16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6"/>
      <c r="W46" s="116"/>
      <c r="X46" s="116"/>
      <c r="Y46" s="116"/>
      <c r="Z46" s="127"/>
      <c r="AA46" s="127"/>
      <c r="AB46" s="127"/>
      <c r="AC46" s="116"/>
      <c r="AD46" s="116"/>
      <c r="AE46" s="116"/>
      <c r="AF46" s="116"/>
      <c r="AG46" s="116"/>
      <c r="AH46" s="116"/>
      <c r="AI46" s="103" t="s">
        <v>64</v>
      </c>
      <c r="AJ46" s="103"/>
      <c r="AK46" s="103"/>
      <c r="AL46" s="103"/>
      <c r="AM46" s="103"/>
      <c r="AN46" s="104" t="s">
        <v>63</v>
      </c>
      <c r="AO46" s="105"/>
      <c r="AP46" s="106"/>
      <c r="AQ46" s="53"/>
      <c r="AR46" s="36"/>
      <c r="AS46" s="35"/>
    </row>
    <row r="47" spans="1:49" s="6" customFormat="1" ht="23.25" x14ac:dyDescent="0.35">
      <c r="A47" s="91"/>
      <c r="B47" s="92"/>
      <c r="C47" s="92"/>
      <c r="D47" s="92"/>
      <c r="E47" s="92"/>
      <c r="F47" s="92"/>
      <c r="G47" s="92"/>
      <c r="H47" s="92"/>
      <c r="I47" s="93"/>
      <c r="J47" s="16"/>
      <c r="K47" s="94"/>
      <c r="L47" s="95"/>
      <c r="M47" s="95"/>
      <c r="N47" s="95"/>
      <c r="O47" s="95"/>
      <c r="P47" s="96"/>
      <c r="Q47" s="94"/>
      <c r="R47" s="95"/>
      <c r="S47" s="95"/>
      <c r="T47" s="95"/>
      <c r="U47" s="96"/>
      <c r="V47" s="97"/>
      <c r="W47" s="98"/>
      <c r="X47" s="98"/>
      <c r="Y47" s="99"/>
      <c r="Z47" s="100"/>
      <c r="AA47" s="101"/>
      <c r="AB47" s="102"/>
      <c r="AC47" s="97"/>
      <c r="AD47" s="98"/>
      <c r="AE47" s="98"/>
      <c r="AF47" s="98"/>
      <c r="AG47" s="98"/>
      <c r="AH47" s="99"/>
      <c r="AI47" s="103" t="s">
        <v>64</v>
      </c>
      <c r="AJ47" s="103"/>
      <c r="AK47" s="103"/>
      <c r="AL47" s="103"/>
      <c r="AM47" s="103"/>
      <c r="AN47" s="104" t="s">
        <v>63</v>
      </c>
      <c r="AO47" s="105"/>
      <c r="AP47" s="106"/>
      <c r="AQ47" s="53"/>
      <c r="AR47" s="36"/>
      <c r="AS47" s="35"/>
    </row>
    <row r="48" spans="1:49" s="6" customFormat="1" ht="23.25" x14ac:dyDescent="0.35">
      <c r="A48" s="109"/>
      <c r="B48" s="110"/>
      <c r="C48" s="110"/>
      <c r="D48" s="110"/>
      <c r="E48" s="110"/>
      <c r="F48" s="110"/>
      <c r="G48" s="110"/>
      <c r="H48" s="110"/>
      <c r="I48" s="110"/>
      <c r="J48" s="16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6"/>
      <c r="W48" s="116"/>
      <c r="X48" s="116"/>
      <c r="Y48" s="116"/>
      <c r="Z48" s="127"/>
      <c r="AA48" s="127"/>
      <c r="AB48" s="127"/>
      <c r="AC48" s="116"/>
      <c r="AD48" s="116"/>
      <c r="AE48" s="116"/>
      <c r="AF48" s="116"/>
      <c r="AG48" s="116"/>
      <c r="AH48" s="116"/>
      <c r="AI48" s="103" t="s">
        <v>64</v>
      </c>
      <c r="AJ48" s="103"/>
      <c r="AK48" s="103"/>
      <c r="AL48" s="103"/>
      <c r="AM48" s="103"/>
      <c r="AN48" s="104" t="s">
        <v>63</v>
      </c>
      <c r="AO48" s="105"/>
      <c r="AP48" s="106"/>
      <c r="AQ48" s="53"/>
      <c r="AR48" s="36"/>
      <c r="AS48" s="35"/>
    </row>
    <row r="49" spans="1:45" s="6" customFormat="1" ht="23.25" x14ac:dyDescent="0.35">
      <c r="A49" s="109"/>
      <c r="B49" s="110"/>
      <c r="C49" s="110"/>
      <c r="D49" s="110"/>
      <c r="E49" s="110"/>
      <c r="F49" s="110"/>
      <c r="G49" s="110"/>
      <c r="H49" s="110"/>
      <c r="I49" s="110"/>
      <c r="J49" s="16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6"/>
      <c r="W49" s="116"/>
      <c r="X49" s="116"/>
      <c r="Y49" s="116"/>
      <c r="Z49" s="127"/>
      <c r="AA49" s="127"/>
      <c r="AB49" s="127"/>
      <c r="AC49" s="116"/>
      <c r="AD49" s="116"/>
      <c r="AE49" s="116"/>
      <c r="AF49" s="116"/>
      <c r="AG49" s="116"/>
      <c r="AH49" s="116"/>
      <c r="AI49" s="103" t="s">
        <v>64</v>
      </c>
      <c r="AJ49" s="103"/>
      <c r="AK49" s="103"/>
      <c r="AL49" s="103"/>
      <c r="AM49" s="103"/>
      <c r="AN49" s="104" t="s">
        <v>63</v>
      </c>
      <c r="AO49" s="105"/>
      <c r="AP49" s="106"/>
      <c r="AQ49" s="53"/>
      <c r="AR49" s="36"/>
      <c r="AS49" s="35"/>
    </row>
    <row r="50" spans="1:45" s="6" customFormat="1" ht="23.25" x14ac:dyDescent="0.35">
      <c r="A50" s="109"/>
      <c r="B50" s="110"/>
      <c r="C50" s="110"/>
      <c r="D50" s="110"/>
      <c r="E50" s="110"/>
      <c r="F50" s="110"/>
      <c r="G50" s="110"/>
      <c r="H50" s="110"/>
      <c r="I50" s="110"/>
      <c r="J50" s="16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6"/>
      <c r="W50" s="116"/>
      <c r="X50" s="116"/>
      <c r="Y50" s="116"/>
      <c r="Z50" s="127"/>
      <c r="AA50" s="127"/>
      <c r="AB50" s="127"/>
      <c r="AC50" s="116"/>
      <c r="AD50" s="116"/>
      <c r="AE50" s="116"/>
      <c r="AF50" s="116"/>
      <c r="AG50" s="116"/>
      <c r="AH50" s="116"/>
      <c r="AI50" s="103" t="s">
        <v>64</v>
      </c>
      <c r="AJ50" s="103"/>
      <c r="AK50" s="103"/>
      <c r="AL50" s="103"/>
      <c r="AM50" s="103"/>
      <c r="AN50" s="104" t="s">
        <v>63</v>
      </c>
      <c r="AO50" s="105"/>
      <c r="AP50" s="106"/>
      <c r="AQ50" s="53"/>
      <c r="AR50" s="36"/>
      <c r="AS50" s="35"/>
    </row>
    <row r="51" spans="1:45" s="6" customFormat="1" ht="23.25" x14ac:dyDescent="0.35">
      <c r="A51" s="91"/>
      <c r="B51" s="92"/>
      <c r="C51" s="92"/>
      <c r="D51" s="92"/>
      <c r="E51" s="92"/>
      <c r="F51" s="92"/>
      <c r="G51" s="92"/>
      <c r="H51" s="92"/>
      <c r="I51" s="93"/>
      <c r="J51" s="16"/>
      <c r="K51" s="94"/>
      <c r="L51" s="95"/>
      <c r="M51" s="95"/>
      <c r="N51" s="95"/>
      <c r="O51" s="95"/>
      <c r="P51" s="96"/>
      <c r="Q51" s="94"/>
      <c r="R51" s="95"/>
      <c r="S51" s="95"/>
      <c r="T51" s="95"/>
      <c r="U51" s="96"/>
      <c r="V51" s="97"/>
      <c r="W51" s="98"/>
      <c r="X51" s="98"/>
      <c r="Y51" s="99"/>
      <c r="Z51" s="100"/>
      <c r="AA51" s="101"/>
      <c r="AB51" s="102"/>
      <c r="AC51" s="97"/>
      <c r="AD51" s="98"/>
      <c r="AE51" s="98"/>
      <c r="AF51" s="98"/>
      <c r="AG51" s="98"/>
      <c r="AH51" s="99"/>
      <c r="AI51" s="103" t="s">
        <v>64</v>
      </c>
      <c r="AJ51" s="103"/>
      <c r="AK51" s="103"/>
      <c r="AL51" s="103"/>
      <c r="AM51" s="103"/>
      <c r="AN51" s="104" t="s">
        <v>63</v>
      </c>
      <c r="AO51" s="105"/>
      <c r="AP51" s="106"/>
      <c r="AQ51" s="53"/>
      <c r="AR51" s="36"/>
      <c r="AS51" s="35"/>
    </row>
    <row r="52" spans="1:45" s="6" customFormat="1" ht="23.25" x14ac:dyDescent="0.35">
      <c r="A52" s="91"/>
      <c r="B52" s="92"/>
      <c r="C52" s="92"/>
      <c r="D52" s="92"/>
      <c r="E52" s="92"/>
      <c r="F52" s="92"/>
      <c r="G52" s="92"/>
      <c r="H52" s="92"/>
      <c r="I52" s="93"/>
      <c r="J52" s="16"/>
      <c r="K52" s="94"/>
      <c r="L52" s="95"/>
      <c r="M52" s="95"/>
      <c r="N52" s="95"/>
      <c r="O52" s="95"/>
      <c r="P52" s="96"/>
      <c r="Q52" s="94"/>
      <c r="R52" s="95"/>
      <c r="S52" s="95"/>
      <c r="T52" s="95"/>
      <c r="U52" s="96"/>
      <c r="V52" s="97"/>
      <c r="W52" s="98"/>
      <c r="X52" s="98"/>
      <c r="Y52" s="99"/>
      <c r="Z52" s="100"/>
      <c r="AA52" s="101"/>
      <c r="AB52" s="102"/>
      <c r="AC52" s="97"/>
      <c r="AD52" s="98"/>
      <c r="AE52" s="98"/>
      <c r="AF52" s="98"/>
      <c r="AG52" s="98"/>
      <c r="AH52" s="99"/>
      <c r="AI52" s="103" t="s">
        <v>64</v>
      </c>
      <c r="AJ52" s="103"/>
      <c r="AK52" s="103"/>
      <c r="AL52" s="103"/>
      <c r="AM52" s="103"/>
      <c r="AN52" s="104" t="s">
        <v>63</v>
      </c>
      <c r="AO52" s="105"/>
      <c r="AP52" s="106"/>
      <c r="AQ52" s="53"/>
      <c r="AR52" s="36"/>
      <c r="AS52" s="35"/>
    </row>
    <row r="53" spans="1:45" s="6" customFormat="1" ht="23.25" x14ac:dyDescent="0.35">
      <c r="A53" s="109"/>
      <c r="B53" s="110"/>
      <c r="C53" s="110"/>
      <c r="D53" s="110"/>
      <c r="E53" s="110"/>
      <c r="F53" s="110"/>
      <c r="G53" s="110"/>
      <c r="H53" s="110"/>
      <c r="I53" s="110"/>
      <c r="J53" s="16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6"/>
      <c r="W53" s="116"/>
      <c r="X53" s="116"/>
      <c r="Y53" s="116"/>
      <c r="Z53" s="127"/>
      <c r="AA53" s="127"/>
      <c r="AB53" s="127"/>
      <c r="AC53" s="116"/>
      <c r="AD53" s="116"/>
      <c r="AE53" s="116"/>
      <c r="AF53" s="116"/>
      <c r="AG53" s="116"/>
      <c r="AH53" s="116"/>
      <c r="AI53" s="103" t="s">
        <v>64</v>
      </c>
      <c r="AJ53" s="103"/>
      <c r="AK53" s="103"/>
      <c r="AL53" s="103"/>
      <c r="AM53" s="103"/>
      <c r="AN53" s="104" t="s">
        <v>63</v>
      </c>
      <c r="AO53" s="105"/>
      <c r="AP53" s="106"/>
      <c r="AQ53" s="53"/>
      <c r="AR53" s="36"/>
      <c r="AS53" s="35"/>
    </row>
    <row r="54" spans="1:45" s="6" customFormat="1" ht="23.25" x14ac:dyDescent="0.35">
      <c r="A54" s="109"/>
      <c r="B54" s="110"/>
      <c r="C54" s="110"/>
      <c r="D54" s="110"/>
      <c r="E54" s="110"/>
      <c r="F54" s="110"/>
      <c r="G54" s="110"/>
      <c r="H54" s="110"/>
      <c r="I54" s="110"/>
      <c r="J54" s="16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6"/>
      <c r="W54" s="116"/>
      <c r="X54" s="116"/>
      <c r="Y54" s="116"/>
      <c r="Z54" s="127"/>
      <c r="AA54" s="127"/>
      <c r="AB54" s="127"/>
      <c r="AC54" s="116"/>
      <c r="AD54" s="116"/>
      <c r="AE54" s="116"/>
      <c r="AF54" s="116"/>
      <c r="AG54" s="116"/>
      <c r="AH54" s="116"/>
      <c r="AI54" s="103" t="s">
        <v>64</v>
      </c>
      <c r="AJ54" s="103"/>
      <c r="AK54" s="103"/>
      <c r="AL54" s="103"/>
      <c r="AM54" s="103"/>
      <c r="AN54" s="104" t="s">
        <v>63</v>
      </c>
      <c r="AO54" s="105"/>
      <c r="AP54" s="106"/>
      <c r="AQ54" s="53"/>
      <c r="AR54" s="36"/>
      <c r="AS54" s="35"/>
    </row>
    <row r="55" spans="1:45" s="6" customFormat="1" ht="23.25" x14ac:dyDescent="0.35">
      <c r="A55" s="109"/>
      <c r="B55" s="110"/>
      <c r="C55" s="110"/>
      <c r="D55" s="110"/>
      <c r="E55" s="110"/>
      <c r="F55" s="110"/>
      <c r="G55" s="110"/>
      <c r="H55" s="110"/>
      <c r="I55" s="110"/>
      <c r="J55" s="16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6"/>
      <c r="W55" s="116"/>
      <c r="X55" s="116"/>
      <c r="Y55" s="116"/>
      <c r="Z55" s="127"/>
      <c r="AA55" s="127"/>
      <c r="AB55" s="127"/>
      <c r="AC55" s="116"/>
      <c r="AD55" s="116"/>
      <c r="AE55" s="116"/>
      <c r="AF55" s="116"/>
      <c r="AG55" s="116"/>
      <c r="AH55" s="116"/>
      <c r="AI55" s="103" t="s">
        <v>64</v>
      </c>
      <c r="AJ55" s="103"/>
      <c r="AK55" s="103"/>
      <c r="AL55" s="103"/>
      <c r="AM55" s="103"/>
      <c r="AN55" s="104" t="s">
        <v>63</v>
      </c>
      <c r="AO55" s="105"/>
      <c r="AP55" s="106"/>
      <c r="AQ55" s="53"/>
      <c r="AR55" s="36"/>
      <c r="AS55" s="35"/>
    </row>
    <row r="56" spans="1:45" s="6" customFormat="1" ht="24" thickBot="1" x14ac:dyDescent="0.4">
      <c r="A56" s="164"/>
      <c r="B56" s="165"/>
      <c r="C56" s="165"/>
      <c r="D56" s="165"/>
      <c r="E56" s="165"/>
      <c r="F56" s="165"/>
      <c r="G56" s="165"/>
      <c r="H56" s="165"/>
      <c r="I56" s="166"/>
      <c r="J56" s="32"/>
      <c r="K56" s="224"/>
      <c r="L56" s="225"/>
      <c r="M56" s="225"/>
      <c r="N56" s="225"/>
      <c r="O56" s="225"/>
      <c r="P56" s="226"/>
      <c r="Q56" s="224"/>
      <c r="R56" s="225"/>
      <c r="S56" s="225"/>
      <c r="T56" s="225"/>
      <c r="U56" s="226"/>
      <c r="V56" s="227"/>
      <c r="W56" s="228"/>
      <c r="X56" s="228"/>
      <c r="Y56" s="229"/>
      <c r="Z56" s="230"/>
      <c r="AA56" s="231"/>
      <c r="AB56" s="232"/>
      <c r="AC56" s="227"/>
      <c r="AD56" s="228"/>
      <c r="AE56" s="228"/>
      <c r="AF56" s="228"/>
      <c r="AG56" s="228"/>
      <c r="AH56" s="229"/>
      <c r="AI56" s="233" t="s">
        <v>64</v>
      </c>
      <c r="AJ56" s="233"/>
      <c r="AK56" s="233"/>
      <c r="AL56" s="233"/>
      <c r="AM56" s="233"/>
      <c r="AN56" s="221" t="s">
        <v>63</v>
      </c>
      <c r="AO56" s="222"/>
      <c r="AP56" s="223"/>
      <c r="AQ56" s="54"/>
      <c r="AR56" s="36"/>
      <c r="AS56" s="35"/>
    </row>
    <row r="57" spans="1:45" s="5" customFormat="1" ht="13.5" customHeight="1" thickBot="1" x14ac:dyDescent="0.3">
      <c r="A57" s="167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9"/>
    </row>
    <row r="58" spans="1:45" s="33" customFormat="1" ht="41.25" customHeight="1" x14ac:dyDescent="0.25">
      <c r="A58" s="142" t="s">
        <v>31</v>
      </c>
      <c r="B58" s="143"/>
      <c r="C58" s="143"/>
      <c r="D58" s="143"/>
      <c r="E58" s="143"/>
      <c r="F58" s="143"/>
      <c r="G58" s="143"/>
      <c r="H58" s="143"/>
      <c r="I58" s="144"/>
      <c r="J58" s="55"/>
      <c r="K58" s="148" t="s">
        <v>5</v>
      </c>
      <c r="L58" s="146"/>
      <c r="M58" s="146"/>
      <c r="N58" s="146"/>
      <c r="O58" s="146"/>
      <c r="P58" s="147"/>
      <c r="Q58" s="148" t="s">
        <v>6</v>
      </c>
      <c r="R58" s="146"/>
      <c r="S58" s="146"/>
      <c r="T58" s="146"/>
      <c r="U58" s="147"/>
      <c r="V58" s="148" t="s">
        <v>7</v>
      </c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4"/>
      <c r="AH58" s="143" t="s">
        <v>190</v>
      </c>
      <c r="AI58" s="143"/>
      <c r="AJ58" s="143"/>
      <c r="AK58" s="143"/>
      <c r="AL58" s="143"/>
      <c r="AM58" s="143"/>
      <c r="AN58" s="143"/>
      <c r="AO58" s="143"/>
      <c r="AP58" s="143"/>
      <c r="AQ58" s="55"/>
      <c r="AR58" s="52" t="s">
        <v>85</v>
      </c>
      <c r="AS58" s="52" t="s">
        <v>17</v>
      </c>
    </row>
    <row r="59" spans="1:45" s="6" customFormat="1" ht="27.75" customHeight="1" x14ac:dyDescent="0.35">
      <c r="A59" s="109"/>
      <c r="B59" s="110"/>
      <c r="C59" s="110"/>
      <c r="D59" s="110"/>
      <c r="E59" s="110"/>
      <c r="F59" s="110"/>
      <c r="G59" s="110"/>
      <c r="H59" s="110"/>
      <c r="I59" s="110"/>
      <c r="J59" s="16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5"/>
      <c r="AI59" s="85"/>
      <c r="AJ59" s="85"/>
      <c r="AK59" s="85"/>
      <c r="AL59" s="85"/>
      <c r="AM59" s="85"/>
      <c r="AN59" s="85"/>
      <c r="AO59" s="85"/>
      <c r="AP59" s="85"/>
      <c r="AQ59" s="53"/>
      <c r="AR59" s="36"/>
      <c r="AS59" s="35"/>
    </row>
    <row r="60" spans="1:45" s="6" customFormat="1" ht="27.75" customHeight="1" x14ac:dyDescent="0.35">
      <c r="A60" s="109"/>
      <c r="B60" s="110"/>
      <c r="C60" s="110"/>
      <c r="D60" s="110"/>
      <c r="E60" s="110"/>
      <c r="F60" s="110"/>
      <c r="G60" s="110"/>
      <c r="H60" s="110"/>
      <c r="I60" s="110"/>
      <c r="J60" s="16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5"/>
      <c r="AI60" s="85"/>
      <c r="AJ60" s="85"/>
      <c r="AK60" s="85"/>
      <c r="AL60" s="85"/>
      <c r="AM60" s="85"/>
      <c r="AN60" s="85"/>
      <c r="AO60" s="85"/>
      <c r="AP60" s="85"/>
      <c r="AQ60" s="53"/>
      <c r="AR60" s="36"/>
      <c r="AS60" s="35"/>
    </row>
    <row r="61" spans="1:45" s="6" customFormat="1" ht="27.75" customHeight="1" x14ac:dyDescent="0.35">
      <c r="A61" s="109"/>
      <c r="B61" s="110"/>
      <c r="C61" s="110"/>
      <c r="D61" s="110"/>
      <c r="E61" s="110"/>
      <c r="F61" s="110"/>
      <c r="G61" s="110"/>
      <c r="H61" s="110"/>
      <c r="I61" s="110"/>
      <c r="J61" s="16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5"/>
      <c r="AI61" s="85"/>
      <c r="AJ61" s="85"/>
      <c r="AK61" s="85"/>
      <c r="AL61" s="85"/>
      <c r="AM61" s="85"/>
      <c r="AN61" s="85"/>
      <c r="AO61" s="85"/>
      <c r="AP61" s="85"/>
      <c r="AQ61" s="53"/>
      <c r="AR61" s="36"/>
      <c r="AS61" s="35"/>
    </row>
    <row r="62" spans="1:45" s="6" customFormat="1" ht="27.75" customHeight="1" x14ac:dyDescent="0.35">
      <c r="A62" s="109"/>
      <c r="B62" s="110"/>
      <c r="C62" s="110"/>
      <c r="D62" s="110"/>
      <c r="E62" s="110"/>
      <c r="F62" s="110"/>
      <c r="G62" s="110"/>
      <c r="H62" s="110"/>
      <c r="I62" s="110"/>
      <c r="J62" s="16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5"/>
      <c r="AI62" s="85"/>
      <c r="AJ62" s="85"/>
      <c r="AK62" s="85"/>
      <c r="AL62" s="85"/>
      <c r="AM62" s="85"/>
      <c r="AN62" s="85"/>
      <c r="AO62" s="85"/>
      <c r="AP62" s="85"/>
      <c r="AQ62" s="53"/>
      <c r="AR62" s="36"/>
      <c r="AS62" s="35"/>
    </row>
    <row r="63" spans="1:45" s="6" customFormat="1" ht="27.75" customHeight="1" x14ac:dyDescent="0.35">
      <c r="A63" s="109"/>
      <c r="B63" s="110"/>
      <c r="C63" s="110"/>
      <c r="D63" s="110"/>
      <c r="E63" s="110"/>
      <c r="F63" s="110"/>
      <c r="G63" s="110"/>
      <c r="H63" s="110"/>
      <c r="I63" s="110"/>
      <c r="J63" s="16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5"/>
      <c r="AI63" s="85"/>
      <c r="AJ63" s="85"/>
      <c r="AK63" s="85"/>
      <c r="AL63" s="85"/>
      <c r="AM63" s="85"/>
      <c r="AN63" s="85"/>
      <c r="AO63" s="85"/>
      <c r="AP63" s="85"/>
      <c r="AQ63" s="53"/>
      <c r="AR63" s="36"/>
      <c r="AS63" s="35"/>
    </row>
    <row r="64" spans="1:45" s="6" customFormat="1" ht="27.75" customHeight="1" x14ac:dyDescent="0.35">
      <c r="A64" s="109"/>
      <c r="B64" s="110"/>
      <c r="C64" s="110"/>
      <c r="D64" s="110"/>
      <c r="E64" s="110"/>
      <c r="F64" s="110"/>
      <c r="G64" s="110"/>
      <c r="H64" s="110"/>
      <c r="I64" s="110"/>
      <c r="J64" s="16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5"/>
      <c r="AI64" s="85"/>
      <c r="AJ64" s="85"/>
      <c r="AK64" s="85"/>
      <c r="AL64" s="85"/>
      <c r="AM64" s="85"/>
      <c r="AN64" s="85"/>
      <c r="AO64" s="85"/>
      <c r="AP64" s="85"/>
      <c r="AQ64" s="53"/>
      <c r="AR64" s="36"/>
      <c r="AS64" s="35"/>
    </row>
    <row r="65" spans="1:45" s="6" customFormat="1" ht="27.75" customHeight="1" x14ac:dyDescent="0.35">
      <c r="A65" s="109"/>
      <c r="B65" s="110"/>
      <c r="C65" s="110"/>
      <c r="D65" s="110"/>
      <c r="E65" s="110"/>
      <c r="F65" s="110"/>
      <c r="G65" s="110"/>
      <c r="H65" s="110"/>
      <c r="I65" s="110"/>
      <c r="J65" s="16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5"/>
      <c r="AI65" s="85"/>
      <c r="AJ65" s="85"/>
      <c r="AK65" s="85"/>
      <c r="AL65" s="85"/>
      <c r="AM65" s="85"/>
      <c r="AN65" s="85"/>
      <c r="AO65" s="85"/>
      <c r="AP65" s="85"/>
      <c r="AQ65" s="53"/>
      <c r="AR65" s="36"/>
      <c r="AS65" s="35"/>
    </row>
    <row r="66" spans="1:45" s="6" customFormat="1" ht="27.75" customHeight="1" x14ac:dyDescent="0.35">
      <c r="A66" s="109"/>
      <c r="B66" s="110"/>
      <c r="C66" s="110"/>
      <c r="D66" s="110"/>
      <c r="E66" s="110"/>
      <c r="F66" s="110"/>
      <c r="G66" s="110"/>
      <c r="H66" s="110"/>
      <c r="I66" s="110"/>
      <c r="J66" s="16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5"/>
      <c r="AI66" s="85"/>
      <c r="AJ66" s="85"/>
      <c r="AK66" s="85"/>
      <c r="AL66" s="85"/>
      <c r="AM66" s="85"/>
      <c r="AN66" s="85"/>
      <c r="AO66" s="85"/>
      <c r="AP66" s="85"/>
      <c r="AQ66" s="53"/>
      <c r="AR66" s="36"/>
      <c r="AS66" s="35"/>
    </row>
    <row r="67" spans="1:45" s="6" customFormat="1" ht="27.75" customHeight="1" x14ac:dyDescent="0.35">
      <c r="A67" s="109"/>
      <c r="B67" s="110"/>
      <c r="C67" s="110"/>
      <c r="D67" s="110"/>
      <c r="E67" s="110"/>
      <c r="F67" s="110"/>
      <c r="G67" s="110"/>
      <c r="H67" s="110"/>
      <c r="I67" s="110"/>
      <c r="J67" s="16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234"/>
      <c r="W67" s="235"/>
      <c r="X67" s="235"/>
      <c r="Y67" s="235"/>
      <c r="Z67" s="235"/>
      <c r="AA67" s="235"/>
      <c r="AB67" s="235"/>
      <c r="AC67" s="235"/>
      <c r="AD67" s="235"/>
      <c r="AE67" s="235"/>
      <c r="AF67" s="235"/>
      <c r="AG67" s="236"/>
      <c r="AH67" s="85"/>
      <c r="AI67" s="85"/>
      <c r="AJ67" s="85"/>
      <c r="AK67" s="85"/>
      <c r="AL67" s="85"/>
      <c r="AM67" s="85"/>
      <c r="AN67" s="85"/>
      <c r="AO67" s="85"/>
      <c r="AP67" s="85"/>
      <c r="AQ67" s="53"/>
      <c r="AR67" s="36"/>
      <c r="AS67" s="35"/>
    </row>
    <row r="68" spans="1:45" s="34" customFormat="1" ht="27.75" customHeight="1" thickBot="1" x14ac:dyDescent="0.4">
      <c r="A68" s="109"/>
      <c r="B68" s="110"/>
      <c r="C68" s="110"/>
      <c r="D68" s="110"/>
      <c r="E68" s="110"/>
      <c r="F68" s="110"/>
      <c r="G68" s="110"/>
      <c r="H68" s="110"/>
      <c r="I68" s="110"/>
      <c r="J68" s="16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5"/>
      <c r="AI68" s="85"/>
      <c r="AJ68" s="85"/>
      <c r="AK68" s="85"/>
      <c r="AL68" s="85"/>
      <c r="AM68" s="85"/>
      <c r="AN68" s="85"/>
      <c r="AO68" s="85"/>
      <c r="AP68" s="85"/>
      <c r="AQ68" s="53"/>
      <c r="AR68" s="36"/>
      <c r="AS68" s="35"/>
    </row>
    <row r="69" spans="1:45" s="6" customFormat="1" ht="27.75" customHeight="1" x14ac:dyDescent="0.35">
      <c r="A69" s="86"/>
      <c r="B69" s="87"/>
      <c r="C69" s="87"/>
      <c r="D69" s="87"/>
      <c r="E69" s="87"/>
      <c r="F69" s="87"/>
      <c r="G69" s="87"/>
      <c r="H69" s="87"/>
      <c r="I69" s="87"/>
      <c r="J69" s="73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90"/>
      <c r="AI69" s="90"/>
      <c r="AJ69" s="90"/>
      <c r="AK69" s="90"/>
      <c r="AL69" s="90"/>
      <c r="AM69" s="90"/>
      <c r="AN69" s="90"/>
      <c r="AO69" s="90"/>
      <c r="AP69" s="90"/>
      <c r="AQ69" s="74"/>
      <c r="AR69" s="75"/>
      <c r="AS69" s="76"/>
    </row>
    <row r="70" spans="1:45" s="6" customFormat="1" ht="27.75" customHeight="1" x14ac:dyDescent="0.35">
      <c r="A70" s="109"/>
      <c r="B70" s="110"/>
      <c r="C70" s="110"/>
      <c r="D70" s="110"/>
      <c r="E70" s="110"/>
      <c r="F70" s="110"/>
      <c r="G70" s="110"/>
      <c r="H70" s="110"/>
      <c r="I70" s="110"/>
      <c r="J70" s="16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5"/>
      <c r="AI70" s="85"/>
      <c r="AJ70" s="85"/>
      <c r="AK70" s="85"/>
      <c r="AL70" s="85"/>
      <c r="AM70" s="85"/>
      <c r="AN70" s="85"/>
      <c r="AO70" s="85"/>
      <c r="AP70" s="85"/>
      <c r="AQ70" s="53"/>
      <c r="AR70" s="36"/>
      <c r="AS70" s="35"/>
    </row>
    <row r="71" spans="1:45" s="6" customFormat="1" ht="27.75" customHeight="1" x14ac:dyDescent="0.35">
      <c r="A71" s="109"/>
      <c r="B71" s="110"/>
      <c r="C71" s="110"/>
      <c r="D71" s="110"/>
      <c r="E71" s="110"/>
      <c r="F71" s="110"/>
      <c r="G71" s="110"/>
      <c r="H71" s="110"/>
      <c r="I71" s="110"/>
      <c r="J71" s="16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5"/>
      <c r="AI71" s="85"/>
      <c r="AJ71" s="85"/>
      <c r="AK71" s="85"/>
      <c r="AL71" s="85"/>
      <c r="AM71" s="85"/>
      <c r="AN71" s="85"/>
      <c r="AO71" s="85"/>
      <c r="AP71" s="85"/>
      <c r="AQ71" s="53"/>
      <c r="AR71" s="36"/>
      <c r="AS71" s="35"/>
    </row>
    <row r="72" spans="1:45" s="6" customFormat="1" ht="27.75" customHeight="1" x14ac:dyDescent="0.35">
      <c r="A72" s="109"/>
      <c r="B72" s="110"/>
      <c r="C72" s="110"/>
      <c r="D72" s="110"/>
      <c r="E72" s="110"/>
      <c r="F72" s="110"/>
      <c r="G72" s="110"/>
      <c r="H72" s="110"/>
      <c r="I72" s="110"/>
      <c r="J72" s="16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234"/>
      <c r="W72" s="235"/>
      <c r="X72" s="235"/>
      <c r="Y72" s="235"/>
      <c r="Z72" s="235"/>
      <c r="AA72" s="235"/>
      <c r="AB72" s="235"/>
      <c r="AC72" s="235"/>
      <c r="AD72" s="235"/>
      <c r="AE72" s="235"/>
      <c r="AF72" s="235"/>
      <c r="AG72" s="236"/>
      <c r="AH72" s="85"/>
      <c r="AI72" s="85"/>
      <c r="AJ72" s="85"/>
      <c r="AK72" s="85"/>
      <c r="AL72" s="85"/>
      <c r="AM72" s="85"/>
      <c r="AN72" s="85"/>
      <c r="AO72" s="85"/>
      <c r="AP72" s="85"/>
      <c r="AQ72" s="53"/>
      <c r="AR72" s="36"/>
      <c r="AS72" s="35"/>
    </row>
    <row r="73" spans="1:45" s="34" customFormat="1" ht="27.75" customHeight="1" thickBot="1" x14ac:dyDescent="0.4">
      <c r="A73" s="170"/>
      <c r="B73" s="171"/>
      <c r="C73" s="171"/>
      <c r="D73" s="171"/>
      <c r="E73" s="171"/>
      <c r="F73" s="171"/>
      <c r="G73" s="171"/>
      <c r="H73" s="171"/>
      <c r="I73" s="171"/>
      <c r="J73" s="3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270"/>
      <c r="W73" s="270"/>
      <c r="X73" s="270"/>
      <c r="Y73" s="270"/>
      <c r="Z73" s="270"/>
      <c r="AA73" s="270"/>
      <c r="AB73" s="270"/>
      <c r="AC73" s="270"/>
      <c r="AD73" s="270"/>
      <c r="AE73" s="270"/>
      <c r="AF73" s="270"/>
      <c r="AG73" s="270"/>
      <c r="AH73" s="271"/>
      <c r="AI73" s="271"/>
      <c r="AJ73" s="271"/>
      <c r="AK73" s="271"/>
      <c r="AL73" s="271"/>
      <c r="AM73" s="271"/>
      <c r="AN73" s="271"/>
      <c r="AO73" s="271"/>
      <c r="AP73" s="271"/>
      <c r="AQ73" s="54"/>
      <c r="AR73" s="36"/>
      <c r="AS73" s="35"/>
    </row>
    <row r="74" spans="1:45" ht="16.5" customHeight="1" x14ac:dyDescent="0.2">
      <c r="A74" s="173"/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/>
      <c r="AH74" s="173"/>
      <c r="AI74" s="173"/>
      <c r="AJ74" s="173"/>
      <c r="AK74" s="173"/>
      <c r="AL74" s="173"/>
      <c r="AM74" s="173"/>
      <c r="AN74" s="173"/>
      <c r="AO74" s="173"/>
      <c r="AP74" s="173"/>
      <c r="AQ74" s="173"/>
      <c r="AR74" s="173"/>
      <c r="AS74" s="173"/>
    </row>
    <row r="75" spans="1:45" ht="24.75" customHeight="1" thickBot="1" x14ac:dyDescent="0.25">
      <c r="A75" s="139" t="s">
        <v>328</v>
      </c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1"/>
    </row>
    <row r="76" spans="1:45" ht="16.5" customHeight="1" thickBot="1" x14ac:dyDescent="0.25">
      <c r="A76" s="173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/>
      <c r="AH76" s="173"/>
      <c r="AI76" s="173"/>
      <c r="AJ76" s="173"/>
      <c r="AK76" s="173"/>
      <c r="AL76" s="173"/>
      <c r="AM76" s="173"/>
      <c r="AN76" s="173"/>
      <c r="AO76" s="173"/>
      <c r="AP76" s="173"/>
      <c r="AQ76" s="173"/>
      <c r="AR76" s="173"/>
      <c r="AS76" s="173"/>
    </row>
    <row r="77" spans="1:45" ht="30" customHeight="1" thickBot="1" x14ac:dyDescent="0.25">
      <c r="A77" s="107" t="s">
        <v>32</v>
      </c>
      <c r="B77" s="214"/>
      <c r="C77" s="197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2"/>
    </row>
    <row r="78" spans="1:45" ht="30" customHeight="1" thickBot="1" x14ac:dyDescent="0.25">
      <c r="A78" s="77" t="s">
        <v>36</v>
      </c>
      <c r="B78" s="78"/>
      <c r="C78" s="245" t="str">
        <f>IF(C77="CAR", 0.45, IF(C77="MOTORCYCLE", 0.24, IF(C77="BICYCLE", 0.2, "")))</f>
        <v/>
      </c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  <c r="AB78" s="246"/>
      <c r="AC78" s="246"/>
      <c r="AD78" s="246"/>
      <c r="AE78" s="246"/>
      <c r="AF78" s="246"/>
      <c r="AG78" s="246"/>
      <c r="AH78" s="246"/>
      <c r="AI78" s="246"/>
      <c r="AJ78" s="246"/>
      <c r="AK78" s="246"/>
      <c r="AL78" s="246"/>
      <c r="AM78" s="246"/>
      <c r="AN78" s="246"/>
      <c r="AO78" s="246"/>
      <c r="AP78" s="246"/>
      <c r="AQ78" s="246"/>
      <c r="AR78" s="246"/>
      <c r="AS78" s="247"/>
    </row>
    <row r="79" spans="1:45" ht="30" customHeight="1" thickBot="1" x14ac:dyDescent="0.25">
      <c r="A79" s="107" t="s">
        <v>33</v>
      </c>
      <c r="B79" s="214"/>
      <c r="C79" s="123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5"/>
    </row>
    <row r="80" spans="1:45" ht="30" customHeight="1" thickBot="1" x14ac:dyDescent="0.25">
      <c r="A80" s="107" t="s">
        <v>34</v>
      </c>
      <c r="B80" s="214"/>
      <c r="C80" s="123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5"/>
    </row>
    <row r="81" spans="1:47" ht="30" customHeight="1" thickBot="1" x14ac:dyDescent="0.25">
      <c r="A81" s="107" t="s">
        <v>35</v>
      </c>
      <c r="B81" s="214"/>
      <c r="C81" s="123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5"/>
    </row>
    <row r="82" spans="1:47" ht="30" customHeight="1" thickBot="1" x14ac:dyDescent="0.25">
      <c r="A82" s="77" t="s">
        <v>67</v>
      </c>
      <c r="B82" s="78"/>
      <c r="C82" s="245" t="str">
        <f>IFERROR(C78*C81,"")</f>
        <v/>
      </c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  <c r="AB82" s="246"/>
      <c r="AC82" s="246"/>
      <c r="AD82" s="246"/>
      <c r="AE82" s="246"/>
      <c r="AF82" s="246"/>
      <c r="AG82" s="246"/>
      <c r="AH82" s="246"/>
      <c r="AI82" s="246"/>
      <c r="AJ82" s="246"/>
      <c r="AK82" s="246"/>
      <c r="AL82" s="246"/>
      <c r="AM82" s="246"/>
      <c r="AN82" s="246"/>
      <c r="AO82" s="246"/>
      <c r="AP82" s="246"/>
      <c r="AQ82" s="246"/>
      <c r="AR82" s="246"/>
      <c r="AS82" s="247"/>
    </row>
    <row r="83" spans="1:47" ht="12" customHeight="1" x14ac:dyDescent="0.2">
      <c r="A83" s="248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50"/>
    </row>
    <row r="84" spans="1:47" ht="24.75" customHeight="1" thickBot="1" x14ac:dyDescent="0.25">
      <c r="A84" s="139" t="s">
        <v>37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  <c r="AQ84" s="140"/>
      <c r="AR84" s="140"/>
      <c r="AS84" s="141"/>
    </row>
    <row r="85" spans="1:47" ht="16.5" customHeight="1" thickBot="1" x14ac:dyDescent="0.25">
      <c r="A85" s="248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50"/>
    </row>
    <row r="86" spans="1:47" ht="37.5" customHeight="1" thickBot="1" x14ac:dyDescent="0.25">
      <c r="A86" s="77" t="s">
        <v>318</v>
      </c>
      <c r="B86" s="78"/>
      <c r="C86" s="79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1"/>
    </row>
    <row r="87" spans="1:47" ht="37.5" customHeight="1" thickBot="1" x14ac:dyDescent="0.25">
      <c r="A87" s="77" t="s">
        <v>46</v>
      </c>
      <c r="B87" s="78"/>
      <c r="C87" s="251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  <c r="AA87" s="252"/>
      <c r="AB87" s="252"/>
      <c r="AC87" s="252"/>
      <c r="AD87" s="252"/>
      <c r="AE87" s="252"/>
      <c r="AF87" s="252"/>
      <c r="AG87" s="252"/>
      <c r="AH87" s="252"/>
      <c r="AI87" s="252"/>
      <c r="AJ87" s="252"/>
      <c r="AK87" s="252"/>
      <c r="AL87" s="252"/>
      <c r="AM87" s="252"/>
      <c r="AN87" s="252"/>
      <c r="AO87" s="252"/>
      <c r="AP87" s="252"/>
      <c r="AQ87" s="252"/>
      <c r="AR87" s="252"/>
      <c r="AS87" s="253"/>
    </row>
    <row r="88" spans="1:47" ht="15.75" customHeight="1" thickBot="1" x14ac:dyDescent="0.3">
      <c r="A88" s="254"/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/>
      <c r="AL88" s="254"/>
      <c r="AM88" s="254"/>
      <c r="AN88" s="254"/>
      <c r="AO88" s="254"/>
      <c r="AP88" s="254"/>
      <c r="AQ88" s="254"/>
      <c r="AR88" s="254"/>
      <c r="AS88" s="254"/>
      <c r="AT88" s="5"/>
      <c r="AU88" s="5"/>
    </row>
    <row r="89" spans="1:47" ht="37.5" customHeight="1" thickBot="1" x14ac:dyDescent="0.25">
      <c r="A89" s="161" t="s">
        <v>312</v>
      </c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3"/>
    </row>
    <row r="90" spans="1:47" ht="15.75" customHeight="1" thickBot="1" x14ac:dyDescent="0.3">
      <c r="A90" s="242"/>
      <c r="B90" s="243"/>
      <c r="C90" s="243"/>
      <c r="D90" s="243"/>
      <c r="E90" s="243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3"/>
      <c r="Q90" s="243"/>
      <c r="R90" s="243"/>
      <c r="S90" s="243"/>
      <c r="T90" s="243"/>
      <c r="U90" s="243"/>
      <c r="V90" s="243"/>
      <c r="W90" s="243"/>
      <c r="X90" s="243"/>
      <c r="Y90" s="243"/>
      <c r="Z90" s="243"/>
      <c r="AA90" s="243"/>
      <c r="AB90" s="243"/>
      <c r="AC90" s="243"/>
      <c r="AD90" s="243"/>
      <c r="AE90" s="243"/>
      <c r="AF90" s="243"/>
      <c r="AG90" s="243"/>
      <c r="AH90" s="243"/>
      <c r="AI90" s="243"/>
      <c r="AJ90" s="243"/>
      <c r="AK90" s="243"/>
      <c r="AL90" s="243"/>
      <c r="AM90" s="243"/>
      <c r="AN90" s="243"/>
      <c r="AO90" s="243"/>
      <c r="AP90" s="243"/>
      <c r="AQ90" s="243"/>
      <c r="AR90" s="243"/>
      <c r="AS90" s="244"/>
    </row>
    <row r="91" spans="1:47" s="7" customFormat="1" ht="37.5" customHeight="1" thickBot="1" x14ac:dyDescent="0.25">
      <c r="A91" s="77" t="s">
        <v>108</v>
      </c>
      <c r="B91" s="111"/>
      <c r="C91" s="258" t="s">
        <v>336</v>
      </c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60"/>
      <c r="Y91" s="255" t="s">
        <v>39</v>
      </c>
      <c r="Z91" s="256"/>
      <c r="AA91" s="257"/>
      <c r="AB91" s="210">
        <v>45633</v>
      </c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4"/>
      <c r="AS91" s="15"/>
    </row>
    <row r="92" spans="1:47" ht="17.25" customHeight="1" thickBot="1" x14ac:dyDescent="0.25">
      <c r="A92" s="237"/>
      <c r="B92" s="238"/>
      <c r="C92" s="238"/>
      <c r="D92" s="238"/>
      <c r="E92" s="238"/>
      <c r="F92" s="238"/>
      <c r="G92" s="238"/>
      <c r="H92" s="238"/>
      <c r="I92" s="238"/>
      <c r="J92" s="238"/>
      <c r="K92" s="238"/>
      <c r="L92" s="238"/>
      <c r="M92" s="238"/>
      <c r="N92" s="238"/>
      <c r="O92" s="238"/>
      <c r="P92" s="238"/>
      <c r="Q92" s="238"/>
      <c r="R92" s="238"/>
      <c r="S92" s="238"/>
      <c r="T92" s="238"/>
      <c r="U92" s="238"/>
      <c r="V92" s="238"/>
      <c r="W92" s="238"/>
      <c r="X92" s="238"/>
      <c r="Y92" s="238"/>
      <c r="Z92" s="238"/>
      <c r="AA92" s="238"/>
      <c r="AB92" s="238"/>
      <c r="AC92" s="238"/>
      <c r="AD92" s="238"/>
      <c r="AE92" s="238"/>
      <c r="AF92" s="238"/>
      <c r="AG92" s="238"/>
      <c r="AH92" s="238"/>
      <c r="AI92" s="238"/>
      <c r="AJ92" s="238"/>
      <c r="AK92" s="238"/>
      <c r="AL92" s="238"/>
      <c r="AM92" s="238"/>
      <c r="AN92" s="238"/>
      <c r="AO92" s="238"/>
      <c r="AP92" s="238"/>
      <c r="AQ92" s="238"/>
      <c r="AR92" s="238"/>
      <c r="AS92" s="239"/>
    </row>
    <row r="93" spans="1:47" ht="17.25" customHeight="1" thickBot="1" x14ac:dyDescent="0.25">
      <c r="A93" s="240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241"/>
    </row>
    <row r="94" spans="1:47" ht="37.5" customHeight="1" thickBot="1" x14ac:dyDescent="0.25">
      <c r="A94" s="107" t="s">
        <v>38</v>
      </c>
      <c r="B94" s="108"/>
      <c r="C94" s="258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60"/>
      <c r="Y94" s="255" t="s">
        <v>39</v>
      </c>
      <c r="Z94" s="256"/>
      <c r="AA94" s="257"/>
      <c r="AB94" s="261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3"/>
      <c r="AS94" s="15"/>
    </row>
    <row r="95" spans="1:47" ht="23.25" customHeight="1" thickBot="1" x14ac:dyDescent="0.25">
      <c r="A95" s="237"/>
      <c r="B95" s="238"/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38"/>
      <c r="V95" s="238"/>
      <c r="W95" s="238"/>
      <c r="X95" s="238"/>
      <c r="Y95" s="238"/>
      <c r="Z95" s="238"/>
      <c r="AA95" s="238"/>
      <c r="AB95" s="238"/>
      <c r="AC95" s="238"/>
      <c r="AD95" s="238"/>
      <c r="AE95" s="238"/>
      <c r="AF95" s="238"/>
      <c r="AG95" s="238"/>
      <c r="AH95" s="238"/>
      <c r="AI95" s="238"/>
      <c r="AJ95" s="238"/>
      <c r="AK95" s="238"/>
      <c r="AL95" s="238"/>
      <c r="AM95" s="238"/>
      <c r="AN95" s="238"/>
      <c r="AO95" s="238"/>
      <c r="AP95" s="238"/>
      <c r="AQ95" s="238"/>
      <c r="AR95" s="238"/>
      <c r="AS95" s="239"/>
    </row>
    <row r="96" spans="1:47" ht="37.5" hidden="1" customHeight="1" x14ac:dyDescent="0.2"/>
  </sheetData>
  <sheetProtection formatCells="0" formatColumns="0" insertColumns="0" insertRows="0" deleteColumns="0" deleteRows="0"/>
  <mergeCells count="329">
    <mergeCell ref="A68:I68"/>
    <mergeCell ref="K68:P68"/>
    <mergeCell ref="Q68:U68"/>
    <mergeCell ref="V68:AG68"/>
    <mergeCell ref="AH68:AP68"/>
    <mergeCell ref="A83:AS83"/>
    <mergeCell ref="A66:I66"/>
    <mergeCell ref="K66:P66"/>
    <mergeCell ref="Q66:U66"/>
    <mergeCell ref="V66:AG66"/>
    <mergeCell ref="AH66:AP66"/>
    <mergeCell ref="A67:I67"/>
    <mergeCell ref="K67:P67"/>
    <mergeCell ref="Q67:U67"/>
    <mergeCell ref="V67:AG67"/>
    <mergeCell ref="AH67:AP67"/>
    <mergeCell ref="A75:AS75"/>
    <mergeCell ref="A49:I49"/>
    <mergeCell ref="K45:P45"/>
    <mergeCell ref="A64:I64"/>
    <mergeCell ref="K64:P64"/>
    <mergeCell ref="Q64:U64"/>
    <mergeCell ref="V64:AG64"/>
    <mergeCell ref="AH64:AP64"/>
    <mergeCell ref="A65:I65"/>
    <mergeCell ref="K65:P65"/>
    <mergeCell ref="Q65:U65"/>
    <mergeCell ref="V65:AG65"/>
    <mergeCell ref="AH65:AP65"/>
    <mergeCell ref="C91:X91"/>
    <mergeCell ref="A52:I52"/>
    <mergeCell ref="A94:B94"/>
    <mergeCell ref="C94:X94"/>
    <mergeCell ref="AB91:AR91"/>
    <mergeCell ref="AB94:AR94"/>
    <mergeCell ref="A39:AS39"/>
    <mergeCell ref="A38:AS38"/>
    <mergeCell ref="V73:AG73"/>
    <mergeCell ref="AH73:AP73"/>
    <mergeCell ref="A60:I60"/>
    <mergeCell ref="C79:AS79"/>
    <mergeCell ref="A82:B82"/>
    <mergeCell ref="C82:AS82"/>
    <mergeCell ref="A81:B81"/>
    <mergeCell ref="C81:AS81"/>
    <mergeCell ref="A84:AS84"/>
    <mergeCell ref="AC42:AH42"/>
    <mergeCell ref="AN42:AP42"/>
    <mergeCell ref="AN43:AP43"/>
    <mergeCell ref="AN44:AP44"/>
    <mergeCell ref="AN45:AP45"/>
    <mergeCell ref="AN46:AP46"/>
    <mergeCell ref="AN52:AP52"/>
    <mergeCell ref="Z48:AB48"/>
    <mergeCell ref="AC48:AH48"/>
    <mergeCell ref="AI48:AM48"/>
    <mergeCell ref="A53:I53"/>
    <mergeCell ref="V46:Y46"/>
    <mergeCell ref="A95:AS95"/>
    <mergeCell ref="A93:AS93"/>
    <mergeCell ref="A90:AS90"/>
    <mergeCell ref="A76:AS76"/>
    <mergeCell ref="A77:B77"/>
    <mergeCell ref="C77:AS77"/>
    <mergeCell ref="A80:B80"/>
    <mergeCell ref="C80:AS80"/>
    <mergeCell ref="A78:B78"/>
    <mergeCell ref="C78:AS78"/>
    <mergeCell ref="A79:B79"/>
    <mergeCell ref="A85:AS85"/>
    <mergeCell ref="A87:B87"/>
    <mergeCell ref="C87:AS87"/>
    <mergeCell ref="A88:AS88"/>
    <mergeCell ref="Y91:AA91"/>
    <mergeCell ref="A92:AS92"/>
    <mergeCell ref="Y94:AA94"/>
    <mergeCell ref="A91:B91"/>
    <mergeCell ref="A48:I48"/>
    <mergeCell ref="AN54:AP54"/>
    <mergeCell ref="AN55:AP55"/>
    <mergeCell ref="K55:P55"/>
    <mergeCell ref="Q55:U55"/>
    <mergeCell ref="V55:Y55"/>
    <mergeCell ref="Z55:AB55"/>
    <mergeCell ref="K72:P72"/>
    <mergeCell ref="Q72:U72"/>
    <mergeCell ref="V72:AG72"/>
    <mergeCell ref="AH72:AP72"/>
    <mergeCell ref="A72:I72"/>
    <mergeCell ref="V59:AG59"/>
    <mergeCell ref="V60:AG60"/>
    <mergeCell ref="AH60:AP60"/>
    <mergeCell ref="K52:P52"/>
    <mergeCell ref="Q52:U52"/>
    <mergeCell ref="V52:Y52"/>
    <mergeCell ref="Z52:AB52"/>
    <mergeCell ref="AC52:AH52"/>
    <mergeCell ref="AI52:AM52"/>
    <mergeCell ref="K48:P48"/>
    <mergeCell ref="Q48:U48"/>
    <mergeCell ref="V48:Y48"/>
    <mergeCell ref="AN56:AP56"/>
    <mergeCell ref="A55:I55"/>
    <mergeCell ref="A50:I50"/>
    <mergeCell ref="K50:P50"/>
    <mergeCell ref="Q50:U50"/>
    <mergeCell ref="V50:Y50"/>
    <mergeCell ref="Z50:AB50"/>
    <mergeCell ref="AC50:AH50"/>
    <mergeCell ref="AI50:AM50"/>
    <mergeCell ref="K56:P56"/>
    <mergeCell ref="Q56:U56"/>
    <mergeCell ref="V56:Y56"/>
    <mergeCell ref="Z56:AB56"/>
    <mergeCell ref="AC56:AH56"/>
    <mergeCell ref="AI56:AM56"/>
    <mergeCell ref="AI55:AM55"/>
    <mergeCell ref="AN41:AP41"/>
    <mergeCell ref="S22:V22"/>
    <mergeCell ref="A1:AS1"/>
    <mergeCell ref="A15:AS15"/>
    <mergeCell ref="A25:AS25"/>
    <mergeCell ref="A26:AS26"/>
    <mergeCell ref="C6:AS6"/>
    <mergeCell ref="C4:AS4"/>
    <mergeCell ref="C11:AB11"/>
    <mergeCell ref="A33:B33"/>
    <mergeCell ref="C18:AS18"/>
    <mergeCell ref="C28:AS28"/>
    <mergeCell ref="C29:AS29"/>
    <mergeCell ref="C30:AS30"/>
    <mergeCell ref="C31:AS31"/>
    <mergeCell ref="A24:AS24"/>
    <mergeCell ref="A28:B28"/>
    <mergeCell ref="Z20:AD20"/>
    <mergeCell ref="AF20:AG20"/>
    <mergeCell ref="AH20:AI20"/>
    <mergeCell ref="AK20:AL20"/>
    <mergeCell ref="AM20:AN20"/>
    <mergeCell ref="A22:B22"/>
    <mergeCell ref="A30:B30"/>
    <mergeCell ref="A18:B18"/>
    <mergeCell ref="C8:Q8"/>
    <mergeCell ref="A16:AS16"/>
    <mergeCell ref="D21:F21"/>
    <mergeCell ref="N21:P21"/>
    <mergeCell ref="S21:V21"/>
    <mergeCell ref="G21:J21"/>
    <mergeCell ref="C33:Z33"/>
    <mergeCell ref="AA33:AM33"/>
    <mergeCell ref="A31:B31"/>
    <mergeCell ref="A29:B29"/>
    <mergeCell ref="K58:P58"/>
    <mergeCell ref="Q60:U60"/>
    <mergeCell ref="A74:AS74"/>
    <mergeCell ref="Z8:AN8"/>
    <mergeCell ref="D22:F22"/>
    <mergeCell ref="G22:J22"/>
    <mergeCell ref="A2:AS2"/>
    <mergeCell ref="A8:B8"/>
    <mergeCell ref="A7:B7"/>
    <mergeCell ref="A4:B4"/>
    <mergeCell ref="C7:AS7"/>
    <mergeCell ref="C5:AS5"/>
    <mergeCell ref="A5:B5"/>
    <mergeCell ref="A6:B6"/>
    <mergeCell ref="A21:B21"/>
    <mergeCell ref="A14:AS14"/>
    <mergeCell ref="A20:B20"/>
    <mergeCell ref="D20:F20"/>
    <mergeCell ref="G20:J20"/>
    <mergeCell ref="K20:M20"/>
    <mergeCell ref="N20:P20"/>
    <mergeCell ref="Q20:R20"/>
    <mergeCell ref="S20:V20"/>
    <mergeCell ref="X20:Y20"/>
    <mergeCell ref="AI43:AM43"/>
    <mergeCell ref="A46:I46"/>
    <mergeCell ref="K46:P46"/>
    <mergeCell ref="S8:Y8"/>
    <mergeCell ref="AO8:AS8"/>
    <mergeCell ref="AP3:AU3"/>
    <mergeCell ref="A89:AS89"/>
    <mergeCell ref="V54:Y54"/>
    <mergeCell ref="Z54:AB54"/>
    <mergeCell ref="AI54:AM54"/>
    <mergeCell ref="V71:AG71"/>
    <mergeCell ref="AH71:AP71"/>
    <mergeCell ref="V58:AG58"/>
    <mergeCell ref="AH58:AP58"/>
    <mergeCell ref="Q58:U58"/>
    <mergeCell ref="A71:I71"/>
    <mergeCell ref="K71:P71"/>
    <mergeCell ref="Q71:U71"/>
    <mergeCell ref="A58:I58"/>
    <mergeCell ref="A56:I56"/>
    <mergeCell ref="A57:AS57"/>
    <mergeCell ref="A73:I73"/>
    <mergeCell ref="K73:P73"/>
    <mergeCell ref="Q73:U73"/>
    <mergeCell ref="V43:Y43"/>
    <mergeCell ref="Z43:AB43"/>
    <mergeCell ref="C34:AS34"/>
    <mergeCell ref="C35:AS35"/>
    <mergeCell ref="K22:M22"/>
    <mergeCell ref="N22:P22"/>
    <mergeCell ref="AI42:AM42"/>
    <mergeCell ref="A54:I54"/>
    <mergeCell ref="K49:P49"/>
    <mergeCell ref="Q49:U49"/>
    <mergeCell ref="Z47:AB47"/>
    <mergeCell ref="AC44:AH44"/>
    <mergeCell ref="AI44:AM44"/>
    <mergeCell ref="Q45:U45"/>
    <mergeCell ref="V45:Y45"/>
    <mergeCell ref="Z45:AB45"/>
    <mergeCell ref="AC45:AH45"/>
    <mergeCell ref="AI45:AM45"/>
    <mergeCell ref="Z42:AB42"/>
    <mergeCell ref="A43:I43"/>
    <mergeCell ref="V49:Y49"/>
    <mergeCell ref="A44:I44"/>
    <mergeCell ref="K44:P44"/>
    <mergeCell ref="AC43:AH43"/>
    <mergeCell ref="AI46:AM46"/>
    <mergeCell ref="K47:P47"/>
    <mergeCell ref="Z46:AB46"/>
    <mergeCell ref="AC46:AH46"/>
    <mergeCell ref="V44:Y44"/>
    <mergeCell ref="Z44:AB44"/>
    <mergeCell ref="C9:AB9"/>
    <mergeCell ref="V42:Y42"/>
    <mergeCell ref="Q44:U44"/>
    <mergeCell ref="Q21:R21"/>
    <mergeCell ref="A27:AS27"/>
    <mergeCell ref="A36:AS36"/>
    <mergeCell ref="A40:AS40"/>
    <mergeCell ref="A37:AS37"/>
    <mergeCell ref="A34:B34"/>
    <mergeCell ref="A41:I41"/>
    <mergeCell ref="K41:P41"/>
    <mergeCell ref="Q41:U41"/>
    <mergeCell ref="V41:Y41"/>
    <mergeCell ref="Z41:AB41"/>
    <mergeCell ref="AC41:AH41"/>
    <mergeCell ref="AI41:AM41"/>
    <mergeCell ref="K43:P43"/>
    <mergeCell ref="Q43:U43"/>
    <mergeCell ref="AI49:AM49"/>
    <mergeCell ref="AN49:AP49"/>
    <mergeCell ref="V53:Y53"/>
    <mergeCell ref="Z53:AB53"/>
    <mergeCell ref="AC53:AH53"/>
    <mergeCell ref="AI53:AM53"/>
    <mergeCell ref="AN53:AP53"/>
    <mergeCell ref="K53:P53"/>
    <mergeCell ref="Q53:U53"/>
    <mergeCell ref="C10:AB10"/>
    <mergeCell ref="A10:B10"/>
    <mergeCell ref="A11:B11"/>
    <mergeCell ref="AN33:AS33"/>
    <mergeCell ref="A59:I59"/>
    <mergeCell ref="K59:P59"/>
    <mergeCell ref="Q59:U59"/>
    <mergeCell ref="A45:I45"/>
    <mergeCell ref="A42:I42"/>
    <mergeCell ref="K42:P42"/>
    <mergeCell ref="Q42:U42"/>
    <mergeCell ref="AH59:AP59"/>
    <mergeCell ref="AC47:AH47"/>
    <mergeCell ref="AI47:AM47"/>
    <mergeCell ref="AN47:AP47"/>
    <mergeCell ref="AN50:AP50"/>
    <mergeCell ref="AC54:AH54"/>
    <mergeCell ref="Q54:U54"/>
    <mergeCell ref="K54:P54"/>
    <mergeCell ref="A32:B32"/>
    <mergeCell ref="C32:AS32"/>
    <mergeCell ref="K21:M21"/>
    <mergeCell ref="Q22:R22"/>
    <mergeCell ref="Z49:AB49"/>
    <mergeCell ref="A9:B9"/>
    <mergeCell ref="A70:I70"/>
    <mergeCell ref="K70:P70"/>
    <mergeCell ref="Q70:U70"/>
    <mergeCell ref="V70:AG70"/>
    <mergeCell ref="AH70:AP70"/>
    <mergeCell ref="A61:I61"/>
    <mergeCell ref="K61:P61"/>
    <mergeCell ref="Q61:U61"/>
    <mergeCell ref="V61:AG61"/>
    <mergeCell ref="AH61:AP61"/>
    <mergeCell ref="A62:I62"/>
    <mergeCell ref="K62:P62"/>
    <mergeCell ref="Q62:U62"/>
    <mergeCell ref="V62:AG62"/>
    <mergeCell ref="AH62:AP62"/>
    <mergeCell ref="A63:I63"/>
    <mergeCell ref="K63:P63"/>
    <mergeCell ref="Q47:U47"/>
    <mergeCell ref="V47:Y47"/>
    <mergeCell ref="K60:P60"/>
    <mergeCell ref="AN48:AP48"/>
    <mergeCell ref="A12:B12"/>
    <mergeCell ref="C12:AS12"/>
    <mergeCell ref="A86:B86"/>
    <mergeCell ref="C86:AS86"/>
    <mergeCell ref="AQ20:AR20"/>
    <mergeCell ref="Q63:U63"/>
    <mergeCell ref="V63:AG63"/>
    <mergeCell ref="AH63:AP63"/>
    <mergeCell ref="A69:I69"/>
    <mergeCell ref="K69:P69"/>
    <mergeCell ref="Q69:U69"/>
    <mergeCell ref="V69:AG69"/>
    <mergeCell ref="AH69:AP69"/>
    <mergeCell ref="A51:I51"/>
    <mergeCell ref="K51:P51"/>
    <mergeCell ref="Q51:U51"/>
    <mergeCell ref="V51:Y51"/>
    <mergeCell ref="Z51:AB51"/>
    <mergeCell ref="AC51:AH51"/>
    <mergeCell ref="AI51:AM51"/>
    <mergeCell ref="AN51:AP51"/>
    <mergeCell ref="A47:I47"/>
    <mergeCell ref="A35:B35"/>
    <mergeCell ref="Q46:U46"/>
    <mergeCell ref="AC55:AH55"/>
    <mergeCell ref="AC49:AH49"/>
  </mergeCells>
  <phoneticPr fontId="0" type="noConversion"/>
  <dataValidations xWindow="760" yWindow="766" count="19">
    <dataValidation type="whole" allowBlank="1" showInputMessage="1" showErrorMessage="1" sqref="C21:D22 N21:N22 K21:K22 W21:Y22 D23:Y23 AF20:AI23 AK20:AN23 AP20:AQ23 C20:Y20" xr:uid="{00000000-0002-0000-0000-000000000000}">
      <formula1>0</formula1>
      <formula2>9</formula2>
    </dataValidation>
    <dataValidation allowBlank="1" sqref="AN42:AN56 AI42:AI56 AQ59:AQ73" xr:uid="{00000000-0002-0000-0000-000001000000}"/>
    <dataValidation type="whole" allowBlank="1" showInputMessage="1" showErrorMessage="1" error="Project codes are only numeric values_x000a_" sqref="K59:P73" xr:uid="{00000000-0002-0000-0000-000002000000}">
      <formula1>999</formula1>
      <formula2>999999999</formula2>
    </dataValidation>
    <dataValidation type="textLength" operator="equal" allowBlank="1" showInputMessage="1" showErrorMessage="1" error="Company codes are 2 numeric digits long" sqref="K42:P56" xr:uid="{00000000-0002-0000-0000-000003000000}">
      <formula1>2</formula1>
    </dataValidation>
    <dataValidation type="textLength" operator="equal" allowBlank="1" showInputMessage="1" showErrorMessage="1" error="Cost Centre are 4 characters long" sqref="V42:Y56" xr:uid="{00000000-0002-0000-0000-000004000000}">
      <formula1>4</formula1>
    </dataValidation>
    <dataValidation type="textLength" operator="equal" allowBlank="1" showInputMessage="1" showErrorMessage="1" error="Analysis codes are 5 numeric digits long" sqref="Q42:U56" xr:uid="{BD9014D9-3469-450F-9C67-143C13957BB0}">
      <formula1>5</formula1>
    </dataValidation>
    <dataValidation type="custom" operator="greaterThan" allowBlank="1" showInputMessage="1" showErrorMessage="1" error="Pleasea type your first name in CAPITAL LETTERS" sqref="C5:AS5" xr:uid="{02C63A24-69E6-4142-BD3E-60A03AD6BECA}">
      <formula1>EXACT(C5,UPPER(C5))</formula1>
    </dataValidation>
    <dataValidation type="custom" allowBlank="1" showInputMessage="1" showErrorMessage="1" error="Pleasea type your last name in CAPITAL LETTERS" sqref="C6:AS6" xr:uid="{57ED0728-07ED-4E2F-8C16-9BCDDF075EA2}">
      <formula1>EXACT(C6,UPPER(C6))</formula1>
    </dataValidation>
    <dataValidation type="date" allowBlank="1" showInputMessage="1" showErrorMessage="1" error="Enter the date format as dd/mm/yyyy" sqref="C4:AS4 AB91:AR91 AB94:AR94" xr:uid="{D050C5DF-C0CE-45F9-B9F9-2529C21C4692}">
      <formula1>44927</formula1>
      <formula2>54789</formula2>
    </dataValidation>
    <dataValidation type="custom" allowBlank="1" showInputMessage="1" showErrorMessage="1" error="This cell only accepts alphabetic characters. Please try again" sqref="C28:AS28" xr:uid="{89520EE9-0146-4E10-B1D2-91D3F683D0F7}">
      <formula1>ISTEXT(C28)</formula1>
    </dataValidation>
    <dataValidation type="custom" allowBlank="1" showInputMessage="1" showErrorMessage="1" error="Do not incluide any spaces. Please try again" sqref="C34:AS34 C30:AS32" xr:uid="{02BD8DE5-932F-47D5-8008-B8E9A5D63548}">
      <formula1>ISERROR(FIND(" ", C30))</formula1>
    </dataValidation>
    <dataValidation type="decimal" allowBlank="1" showInputMessage="1" showErrorMessage="1" error="Please enter a number" sqref="AS42:AS56 C87:AS87 AS59:AS73" xr:uid="{94593297-2A63-4399-98C1-B9430635A04F}">
      <formula1>0</formula1>
      <formula2>20000</formula2>
    </dataValidation>
    <dataValidation type="decimal" allowBlank="1" showInputMessage="1" showErrorMessage="1" error="Please enter a number" sqref="C81:AS81" xr:uid="{9B742D14-BAA6-46CC-A216-E7DDB677A0B4}">
      <formula1>0</formula1>
      <formula2>10000</formula2>
    </dataValidation>
    <dataValidation type="textLength" operator="equal" allowBlank="1" showInputMessage="1" showErrorMessage="1" error="Activity codes are 5 numeric digits long" sqref="Z42:AB56" xr:uid="{A29711CC-3EEB-4857-976B-9E4FCA589CE6}">
      <formula1>5</formula1>
    </dataValidation>
    <dataValidation type="textLength" operator="equal" allowBlank="1" showInputMessage="1" showErrorMessage="1" error="Source of Funds codes are 5 numeric digits long" sqref="AC42:AH56" xr:uid="{6AC64DBD-0E47-4B47-8025-39709BD6D9A0}">
      <formula1>5</formula1>
    </dataValidation>
    <dataValidation type="custom" allowBlank="1" showInputMessage="1" showErrorMessage="1" error="Task number format is X.X ie 1.1" sqref="Q59:U73" xr:uid="{FDE4E838-0234-4697-9CC1-2E6414189B30}">
      <formula1>AND(ISNUMBER(VALUE(LEFT(Q59, SEARCH(".", Q59)-1))), ISNUMBER(VALUE(MID(Q59, SEARCH(".", Q59)+1, LEN(Q59)-SEARCH(".", Q59)))))</formula1>
    </dataValidation>
    <dataValidation type="whole" allowBlank="1" showInputMessage="1" showErrorMessage="1" error="Please enter your student ID number" sqref="C11:AB11" xr:uid="{A1F88D0E-0E64-436D-8D6C-230FB3D175C8}">
      <formula1>9999</formula1>
      <formula2>99999999999</formula2>
    </dataValidation>
    <dataValidation type="textLength" allowBlank="1" showInputMessage="1" showErrorMessage="1" error="INSTITUTION NUMBER is 3 numbers long. Please try again" sqref="C33:Z33" xr:uid="{822AEB84-2480-4B92-A894-4AC5AFB53E53}">
      <formula1>3</formula1>
      <formula2>3</formula2>
    </dataValidation>
    <dataValidation type="textLength" allowBlank="1" showInputMessage="1" showErrorMessage="1" error="TRANSIT NUMBER is 5 numbers long. Please try again" sqref="AN33:AS33" xr:uid="{D4251CFB-8450-4477-B936-1CE597340F59}">
      <formula1>5</formula1>
      <formula2>5</formula2>
    </dataValidation>
  </dataValidations>
  <hyperlinks>
    <hyperlink ref="C10" r:id="rId1" xr:uid="{B11C4B97-CB49-4BF1-8D24-79FFE6018C3E}"/>
  </hyperlinks>
  <pageMargins left="0" right="0" top="0.19685039370078741" bottom="0.19685039370078741" header="0.51181102362204722" footer="0.51181102362204722"/>
  <pageSetup paperSize="8" scale="46" orientation="portrait" r:id="rId2"/>
  <headerFooter differentOddEven="1" scaleWithDoc="0" alignWithMargins="0"/>
  <ignoredErrors>
    <ignoredError sqref="AN42 AN52:AP56 AI52:AM56 AI42:AM46 AN43:AP46 AI47:AP51" numberStoredAsText="1"/>
  </ignoredErrors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xWindow="760" yWindow="766" count="5">
        <x14:dataValidation type="list" allowBlank="1" showInputMessage="1" showErrorMessage="1" xr:uid="{309EBC76-9A9E-4278-A19D-CDCD0242BBDF}">
          <x14:formula1>
            <xm:f>'Dropdown menu'!$A$2:$A$4</xm:f>
          </x14:formula1>
          <xm:sqref>C77:AS77</xm:sqref>
        </x14:dataValidation>
        <x14:dataValidation type="list" allowBlank="1" showInputMessage="1" showErrorMessage="1" error="Please select an option from the dropdown menu" xr:uid="{9909DA80-3519-49FE-958D-81D06A1F93E1}">
          <x14:formula1>
            <xm:f>'Dropdown menu'!$E$2:$E$27</xm:f>
          </x14:formula1>
          <xm:sqref>AR42:AR56 AR59:AR73</xm:sqref>
        </x14:dataValidation>
        <x14:dataValidation type="list" allowBlank="1" showInputMessage="1" showErrorMessage="1" xr:uid="{3FC4934C-ADE8-4674-A003-8A25AA69D3A6}">
          <x14:formula1>
            <xm:f>'Dropdown menu'!$C$2:$C$7</xm:f>
          </x14:formula1>
          <xm:sqref>C86:AS86</xm:sqref>
        </x14:dataValidation>
        <x14:dataValidation type="list" allowBlank="1" showInputMessage="1" showErrorMessage="1" error="Please select a value from the dropdown menu" xr:uid="{0835B8B0-C7ED-43FD-8BC0-94BE61382694}">
          <x14:formula1>
            <xm:f>'Dropdown menu'!$G$2:$G$78</xm:f>
          </x14:formula1>
          <xm:sqref>V59:AG73</xm:sqref>
        </x14:dataValidation>
        <x14:dataValidation type="list" allowBlank="1" showInputMessage="1" showErrorMessage="1" error="Please select a value from the dropdown menu" xr:uid="{C28F2D73-5658-4EB8-9D3B-A589DF8237CA}">
          <x14:formula1>
            <xm:f>'Dropdown menu'!$I$2:$I$122</xm:f>
          </x14:formula1>
          <xm:sqref>AH59:AP73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403A-1542-4B29-BA9E-5BFA58B78A03}">
  <dimension ref="A2:BB65"/>
  <sheetViews>
    <sheetView zoomScale="85" zoomScaleNormal="85" workbookViewId="0">
      <selection activeCell="B46" sqref="B46"/>
    </sheetView>
  </sheetViews>
  <sheetFormatPr defaultRowHeight="12.75" x14ac:dyDescent="0.2"/>
  <cols>
    <col min="1" max="1" width="25.140625" customWidth="1"/>
    <col min="2" max="2" width="45.85546875" style="24" customWidth="1"/>
    <col min="3" max="3" width="14.42578125" style="19" customWidth="1"/>
    <col min="4" max="5" width="2.85546875" style="23" hidden="1" customWidth="1"/>
    <col min="6" max="6" width="48.42578125" customWidth="1"/>
    <col min="7" max="21" width="2.5703125" style="23" hidden="1" customWidth="1"/>
    <col min="22" max="22" width="15.140625" customWidth="1"/>
    <col min="23" max="27" width="2" style="23" hidden="1" customWidth="1"/>
    <col min="28" max="28" width="20.7109375" customWidth="1"/>
    <col min="29" max="32" width="2" style="23" hidden="1" customWidth="1"/>
    <col min="33" max="33" width="29.7109375" customWidth="1"/>
    <col min="34" max="44" width="2" style="23" hidden="1" customWidth="1"/>
    <col min="45" max="45" width="40" customWidth="1"/>
    <col min="46" max="46" width="2" hidden="1" customWidth="1"/>
    <col min="47" max="54" width="9.140625" style="23"/>
  </cols>
  <sheetData>
    <row r="2" spans="1:45" x14ac:dyDescent="0.2">
      <c r="A2" s="9" t="s">
        <v>65</v>
      </c>
      <c r="B2" s="24" t="str" cm="1">
        <f t="array" ref="B2:AA2">+B6&amp;" "&amp;IF('Non staff expense form'!C11:AB11&lt;&gt;"",'Non staff expense form'!C11:AB11&amp;" ","")&amp;Translator!AS5</f>
        <v>FARAN ZAFAR 50036860 07.12.24</v>
      </c>
      <c r="C2" s="31" t="str">
        <v>FARAN ZAFAR 07.12.24</v>
      </c>
      <c r="D2" s="23" t="str">
        <v>FARAN ZAFAR 07.12.24</v>
      </c>
      <c r="E2" s="23" t="str">
        <v>FARAN ZAFAR 07.12.24</v>
      </c>
      <c r="F2" s="23" t="str">
        <v>FARAN ZAFAR 07.12.24</v>
      </c>
      <c r="G2" s="23" t="str">
        <v>FARAN ZAFAR 07.12.24</v>
      </c>
      <c r="H2" s="23" t="str">
        <v>FARAN ZAFAR 07.12.24</v>
      </c>
      <c r="I2" s="23" t="str">
        <v>FARAN ZAFAR 07.12.24</v>
      </c>
      <c r="J2" s="23" t="str">
        <v>FARAN ZAFAR 07.12.24</v>
      </c>
      <c r="K2" s="23" t="str">
        <v>FARAN ZAFAR 07.12.24</v>
      </c>
      <c r="L2" s="23" t="str">
        <v>FARAN ZAFAR 07.12.24</v>
      </c>
      <c r="M2" s="23" t="str">
        <v>FARAN ZAFAR 07.12.24</v>
      </c>
      <c r="N2" s="23" t="str">
        <v>FARAN ZAFAR 07.12.24</v>
      </c>
      <c r="O2" s="23" t="str">
        <v>FARAN ZAFAR 07.12.24</v>
      </c>
      <c r="P2" s="23" t="str">
        <v>FARAN ZAFAR 07.12.24</v>
      </c>
      <c r="Q2" s="23" t="str">
        <v>FARAN ZAFAR 07.12.24</v>
      </c>
      <c r="R2" s="23" t="str">
        <v>FARAN ZAFAR 07.12.24</v>
      </c>
      <c r="S2" s="23" t="str">
        <v>FARAN ZAFAR 07.12.24</v>
      </c>
      <c r="T2" s="23" t="str">
        <v>FARAN ZAFAR 07.12.24</v>
      </c>
      <c r="U2" s="23" t="str">
        <v>FARAN ZAFAR 07.12.24</v>
      </c>
      <c r="V2" s="23" t="str">
        <v>FARAN ZAFAR 07.12.24</v>
      </c>
      <c r="W2" s="23" t="str">
        <v>FARAN ZAFAR 07.12.24</v>
      </c>
      <c r="X2" s="23" t="str">
        <v>FARAN ZAFAR 07.12.24</v>
      </c>
      <c r="Y2" s="23" t="str">
        <v>FARAN ZAFAR 07.12.24</v>
      </c>
      <c r="Z2" s="23" t="str">
        <v>FARAN ZAFAR 07.12.24</v>
      </c>
      <c r="AA2" s="23" t="str">
        <v>FARAN ZAFAR 07.12.24</v>
      </c>
      <c r="AB2" s="23"/>
      <c r="AS2" s="9"/>
    </row>
    <row r="3" spans="1:45" x14ac:dyDescent="0.2">
      <c r="A3" s="9" t="s">
        <v>85</v>
      </c>
      <c r="B3" s="24" cm="1">
        <f t="array" ref="B3:AR3">+'Non staff expense form'!C86:AS86</f>
        <v>0</v>
      </c>
      <c r="C3" s="31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  <c r="X3" s="23">
        <v>0</v>
      </c>
      <c r="Y3" s="23">
        <v>0</v>
      </c>
      <c r="Z3" s="23">
        <v>0</v>
      </c>
      <c r="AA3" s="23">
        <v>0</v>
      </c>
      <c r="AB3" s="23">
        <v>0</v>
      </c>
      <c r="AC3" s="23">
        <v>0</v>
      </c>
      <c r="AD3" s="23">
        <v>0</v>
      </c>
      <c r="AE3" s="23">
        <v>0</v>
      </c>
      <c r="AF3" s="23">
        <v>0</v>
      </c>
      <c r="AG3" s="23">
        <v>0</v>
      </c>
      <c r="AH3" s="23">
        <v>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0</v>
      </c>
      <c r="AR3" s="23">
        <v>0</v>
      </c>
      <c r="AS3" s="9"/>
    </row>
    <row r="4" spans="1:45" x14ac:dyDescent="0.2">
      <c r="A4" s="9" t="s">
        <v>17</v>
      </c>
      <c r="B4" s="38" cm="1">
        <f t="array" ref="B4:AR4">+'Non staff expense form'!C87:AS87</f>
        <v>0</v>
      </c>
      <c r="C4" s="31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  <c r="X4" s="23">
        <v>0</v>
      </c>
      <c r="Y4" s="23">
        <v>0</v>
      </c>
      <c r="Z4" s="23">
        <v>0</v>
      </c>
      <c r="AA4" s="23">
        <v>0</v>
      </c>
      <c r="AB4" s="23">
        <v>0</v>
      </c>
      <c r="AC4" s="23">
        <v>0</v>
      </c>
      <c r="AD4" s="23">
        <v>0</v>
      </c>
      <c r="AE4" s="23">
        <v>0</v>
      </c>
      <c r="AF4" s="23">
        <v>0</v>
      </c>
      <c r="AG4" s="23">
        <v>0</v>
      </c>
      <c r="AH4" s="23">
        <v>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23">
        <v>0</v>
      </c>
      <c r="AS4" s="9"/>
    </row>
    <row r="5" spans="1:45" x14ac:dyDescent="0.2">
      <c r="A5" t="s">
        <v>73</v>
      </c>
      <c r="B5" s="25" cm="1">
        <f t="array" ref="B5:AR5">+'Non staff expense form'!C4:AS4</f>
        <v>45633</v>
      </c>
      <c r="C5" s="31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 t="str">
        <f>TEXT(B5, "dd.mm.yy")</f>
        <v>07.12.24</v>
      </c>
    </row>
    <row r="6" spans="1:45" x14ac:dyDescent="0.2">
      <c r="A6" s="9" t="s">
        <v>66</v>
      </c>
      <c r="B6" s="24" t="str" cm="1">
        <f t="array" ref="B6:AR6">+'Non staff expense form'!C5:AS5&amp;" "&amp;'Non staff expense form'!C6:AS6</f>
        <v>FARAN ZAFAR</v>
      </c>
      <c r="C6" s="31" t="str">
        <v xml:space="preserve"> </v>
      </c>
      <c r="D6" s="23" t="str">
        <v xml:space="preserve"> </v>
      </c>
      <c r="E6" s="23" t="str">
        <v xml:space="preserve"> </v>
      </c>
      <c r="F6" s="23" t="str">
        <v xml:space="preserve"> </v>
      </c>
      <c r="G6" s="23" t="str">
        <v xml:space="preserve"> </v>
      </c>
      <c r="H6" s="23" t="str">
        <v xml:space="preserve"> </v>
      </c>
      <c r="I6" s="23" t="str">
        <v xml:space="preserve"> </v>
      </c>
      <c r="J6" s="23" t="str">
        <v xml:space="preserve"> </v>
      </c>
      <c r="K6" s="23" t="str">
        <v xml:space="preserve"> </v>
      </c>
      <c r="L6" s="23" t="str">
        <v xml:space="preserve"> </v>
      </c>
      <c r="M6" s="23" t="str">
        <v xml:space="preserve"> </v>
      </c>
      <c r="N6" s="23" t="str">
        <v xml:space="preserve"> </v>
      </c>
      <c r="O6" s="23" t="str">
        <v xml:space="preserve"> </v>
      </c>
      <c r="P6" s="23" t="str">
        <v xml:space="preserve"> </v>
      </c>
      <c r="Q6" s="23" t="str">
        <v xml:space="preserve"> </v>
      </c>
      <c r="R6" s="23" t="str">
        <v xml:space="preserve"> </v>
      </c>
      <c r="S6" s="23" t="str">
        <v xml:space="preserve"> </v>
      </c>
      <c r="T6" s="23" t="str">
        <v xml:space="preserve"> </v>
      </c>
      <c r="U6" s="23" t="str">
        <v xml:space="preserve"> </v>
      </c>
      <c r="V6" t="str">
        <v xml:space="preserve"> </v>
      </c>
      <c r="W6" s="23" t="str">
        <v xml:space="preserve"> </v>
      </c>
      <c r="X6" s="23" t="str">
        <v xml:space="preserve"> </v>
      </c>
      <c r="Y6" s="23" t="str">
        <v xml:space="preserve"> </v>
      </c>
      <c r="Z6" s="23" t="str">
        <v xml:space="preserve"> </v>
      </c>
      <c r="AA6" s="23" t="str">
        <v xml:space="preserve"> </v>
      </c>
      <c r="AB6" t="str">
        <v xml:space="preserve"> </v>
      </c>
      <c r="AC6" s="23" t="str">
        <v xml:space="preserve"> </v>
      </c>
      <c r="AD6" s="23" t="str">
        <v xml:space="preserve"> </v>
      </c>
      <c r="AE6" s="23" t="str">
        <v xml:space="preserve"> </v>
      </c>
      <c r="AF6" s="23" t="str">
        <v xml:space="preserve"> </v>
      </c>
      <c r="AG6" t="str">
        <v xml:space="preserve"> </v>
      </c>
      <c r="AH6" s="23" t="str">
        <v xml:space="preserve"> </v>
      </c>
      <c r="AI6" s="23" t="str">
        <v xml:space="preserve"> </v>
      </c>
      <c r="AJ6" s="23" t="str">
        <v xml:space="preserve"> </v>
      </c>
      <c r="AK6" s="23" t="str">
        <v xml:space="preserve"> </v>
      </c>
      <c r="AL6" s="23" t="str">
        <v xml:space="preserve"> </v>
      </c>
      <c r="AM6" s="23" t="str">
        <v xml:space="preserve"> </v>
      </c>
      <c r="AN6" s="23" t="str">
        <v xml:space="preserve"> </v>
      </c>
      <c r="AO6" s="23" t="str">
        <v xml:space="preserve"> </v>
      </c>
      <c r="AP6" s="23" t="str">
        <v xml:space="preserve"> </v>
      </c>
      <c r="AQ6" s="23" t="str">
        <v xml:space="preserve"> </v>
      </c>
      <c r="AR6" s="23" t="str">
        <v xml:space="preserve"> </v>
      </c>
    </row>
    <row r="7" spans="1:45" x14ac:dyDescent="0.2">
      <c r="A7" s="9" t="s">
        <v>326</v>
      </c>
      <c r="B7" s="29" t="str" cm="1">
        <f t="array" ref="B7:AA7">+'Non staff expense form'!C10:AB10</f>
        <v>faranzafarcs@gmail.com</v>
      </c>
      <c r="C7" s="31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/>
      <c r="AG7" s="23"/>
      <c r="AS7" s="23"/>
    </row>
    <row r="8" spans="1:45" x14ac:dyDescent="0.2">
      <c r="A8" s="9" t="s">
        <v>327</v>
      </c>
      <c r="B8" s="24" cm="1">
        <f t="array" ref="B8:AR8">+'Non staff expense form'!C12:AS12</f>
        <v>0</v>
      </c>
      <c r="C8" s="31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/>
    </row>
    <row r="9" spans="1:45" x14ac:dyDescent="0.2">
      <c r="A9" s="9"/>
      <c r="B9" s="29"/>
      <c r="F9" s="23"/>
      <c r="V9" s="23"/>
    </row>
    <row r="10" spans="1:45" x14ac:dyDescent="0.2">
      <c r="A10" s="18" t="s">
        <v>16</v>
      </c>
      <c r="B10" s="29"/>
      <c r="F10" s="23"/>
      <c r="V10" s="23"/>
    </row>
    <row r="12" spans="1:45" x14ac:dyDescent="0.2">
      <c r="B12" s="26" t="s">
        <v>17</v>
      </c>
      <c r="C12" s="17" t="s">
        <v>85</v>
      </c>
      <c r="D12" s="31"/>
      <c r="E12" s="31"/>
      <c r="F12" s="17" t="s">
        <v>57</v>
      </c>
      <c r="G12" s="30"/>
      <c r="H12" s="30"/>
      <c r="I12" s="30"/>
      <c r="J12" s="30"/>
      <c r="K12" s="30"/>
      <c r="L12" s="31"/>
      <c r="V12" s="17" t="s">
        <v>58</v>
      </c>
    </row>
    <row r="13" spans="1:45" x14ac:dyDescent="0.2">
      <c r="A13" s="9" t="s">
        <v>47</v>
      </c>
      <c r="B13" s="28">
        <f>+'Non staff expense form'!AS42</f>
        <v>0</v>
      </c>
      <c r="C13" s="37">
        <f>+'Non staff expense form'!AR42</f>
        <v>0</v>
      </c>
      <c r="F13" t="str" cm="1">
        <f t="array" ref="F13:K13">'Non staff expense form'!K42:P42&amp;"."&amp;'Non staff expense form'!Q42:U42&amp;"."&amp;'Non staff expense form'!V42:Y42&amp;"."&amp;'Non staff expense form'!Z42:AB42&amp;"."&amp;'Non staff expense form'!AC42:AH42&amp;".00.000000"</f>
        <v>.....00.000000</v>
      </c>
      <c r="G13" s="23" t="str">
        <v>.....00.000000</v>
      </c>
      <c r="H13" s="23" t="str">
        <v>.....00.000000</v>
      </c>
      <c r="I13" s="23" t="e">
        <v>#N/A</v>
      </c>
      <c r="J13" s="23" t="e">
        <v>#N/A</v>
      </c>
      <c r="K13" s="23" t="e">
        <v>#N/A</v>
      </c>
      <c r="V13" cm="1">
        <f t="array" ref="V13:AD13">'Non staff expense form'!A42:I42</f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</row>
    <row r="14" spans="1:45" x14ac:dyDescent="0.2">
      <c r="A14" s="9" t="s">
        <v>48</v>
      </c>
      <c r="B14" s="28">
        <f>+'Non staff expense form'!AS43</f>
        <v>0</v>
      </c>
      <c r="C14" s="37">
        <f>+'Non staff expense form'!AR43</f>
        <v>0</v>
      </c>
      <c r="F14" t="str" cm="1">
        <f t="array" ref="F14:K14">'Non staff expense form'!K43:P43&amp;"."&amp;'Non staff expense form'!Q43:U43&amp;"."&amp;'Non staff expense form'!V43:Y43&amp;"."&amp;'Non staff expense form'!Z43:AB43&amp;"."&amp;'Non staff expense form'!AC43:AH43&amp;".00.000000"</f>
        <v>.....00.000000</v>
      </c>
      <c r="G14" s="23" t="str">
        <v>.....00.000000</v>
      </c>
      <c r="H14" s="23" t="str">
        <v>.....00.000000</v>
      </c>
      <c r="I14" s="23" t="e">
        <v>#N/A</v>
      </c>
      <c r="J14" s="23" t="e">
        <v>#N/A</v>
      </c>
      <c r="K14" s="23" t="e">
        <v>#N/A</v>
      </c>
      <c r="V14" cm="1">
        <f t="array" ref="V14:AD14">'Non staff expense form'!A43:I43</f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</row>
    <row r="15" spans="1:45" x14ac:dyDescent="0.2">
      <c r="A15" s="9" t="s">
        <v>49</v>
      </c>
      <c r="B15" s="28">
        <f>+'Non staff expense form'!AS44</f>
        <v>0</v>
      </c>
      <c r="C15" s="37">
        <f>+'Non staff expense form'!AR44</f>
        <v>0</v>
      </c>
      <c r="F15" t="str" cm="1">
        <f t="array" ref="F15:K15">'Non staff expense form'!K44:P44&amp;"."&amp;'Non staff expense form'!Q44:U44&amp;"."&amp;'Non staff expense form'!V44:Y44&amp;"."&amp;'Non staff expense form'!Z44:AB44&amp;"."&amp;'Non staff expense form'!AC44:AH44&amp;".00.000000"</f>
        <v>.....00.000000</v>
      </c>
      <c r="G15" s="23" t="str">
        <v>.....00.000000</v>
      </c>
      <c r="H15" s="23" t="str">
        <v>.....00.000000</v>
      </c>
      <c r="I15" s="23" t="e">
        <v>#N/A</v>
      </c>
      <c r="J15" s="23" t="e">
        <v>#N/A</v>
      </c>
      <c r="K15" s="23" t="e">
        <v>#N/A</v>
      </c>
      <c r="V15" cm="1">
        <f t="array" ref="V15:AD15">'Non staff expense form'!A44:I44</f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</row>
    <row r="16" spans="1:45" x14ac:dyDescent="0.2">
      <c r="A16" s="9" t="s">
        <v>50</v>
      </c>
      <c r="B16" s="28">
        <f>+'Non staff expense form'!AS45</f>
        <v>0</v>
      </c>
      <c r="C16" s="37">
        <f>+'Non staff expense form'!AR45</f>
        <v>0</v>
      </c>
      <c r="F16" t="str" cm="1">
        <f t="array" ref="F16:K16">'Non staff expense form'!K45:P45&amp;"."&amp;'Non staff expense form'!Q45:U45&amp;"."&amp;'Non staff expense form'!V45:Y45&amp;"."&amp;'Non staff expense form'!Z45:AB45&amp;"."&amp;'Non staff expense form'!AC45:AH45&amp;".00.000000"</f>
        <v>.....00.000000</v>
      </c>
      <c r="G16" s="23" t="str">
        <v>.....00.000000</v>
      </c>
      <c r="H16" s="23" t="str">
        <v>.....00.000000</v>
      </c>
      <c r="I16" s="23" t="e">
        <v>#N/A</v>
      </c>
      <c r="J16" s="23" t="e">
        <v>#N/A</v>
      </c>
      <c r="K16" s="23" t="e">
        <v>#N/A</v>
      </c>
      <c r="V16" cm="1">
        <f t="array" ref="V16:AD16">'Non staff expense form'!A45:I45</f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</row>
    <row r="17" spans="1:53" x14ac:dyDescent="0.2">
      <c r="A17" s="9" t="s">
        <v>51</v>
      </c>
      <c r="B17" s="28">
        <f>+'Non staff expense form'!AS46</f>
        <v>0</v>
      </c>
      <c r="C17" s="37">
        <f>+'Non staff expense form'!AR46</f>
        <v>0</v>
      </c>
      <c r="F17" t="str" cm="1">
        <f t="array" ref="F17:K17">'Non staff expense form'!K46:P46&amp;"."&amp;'Non staff expense form'!Q46:U46&amp;"."&amp;'Non staff expense form'!V46:Y46&amp;"."&amp;'Non staff expense form'!Z46:AB46&amp;"."&amp;'Non staff expense form'!AC46:AH46&amp;".00.000000"</f>
        <v>.....00.000000</v>
      </c>
      <c r="G17" s="23" t="str">
        <v>.....00.000000</v>
      </c>
      <c r="H17" s="23" t="str">
        <v>.....00.000000</v>
      </c>
      <c r="I17" s="23" t="e">
        <v>#N/A</v>
      </c>
      <c r="J17" s="23" t="e">
        <v>#N/A</v>
      </c>
      <c r="K17" s="23" t="e">
        <v>#N/A</v>
      </c>
      <c r="V17" cm="1">
        <f t="array" ref="V17:AD17">'Non staff expense form'!A46:I46</f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</row>
    <row r="18" spans="1:53" x14ac:dyDescent="0.2">
      <c r="A18" s="9" t="s">
        <v>52</v>
      </c>
      <c r="B18" s="28">
        <f>+'Non staff expense form'!AS47</f>
        <v>0</v>
      </c>
      <c r="C18" s="37">
        <f>+'Non staff expense form'!AR47</f>
        <v>0</v>
      </c>
      <c r="F18" t="str" cm="1">
        <f t="array" ref="F18:K18">'Non staff expense form'!K47:P47&amp;"."&amp;'Non staff expense form'!Q47:U47&amp;"."&amp;'Non staff expense form'!V47:Y47&amp;"."&amp;'Non staff expense form'!Z47:AB47&amp;"."&amp;'Non staff expense form'!AC47:AH47&amp;".00.000000"</f>
        <v>.....00.000000</v>
      </c>
      <c r="G18" s="23" t="str">
        <v>.....00.000000</v>
      </c>
      <c r="H18" s="23" t="str">
        <v>.....00.000000</v>
      </c>
      <c r="I18" s="23" t="e">
        <v>#N/A</v>
      </c>
      <c r="J18" s="23" t="e">
        <v>#N/A</v>
      </c>
      <c r="K18" s="23" t="e">
        <v>#N/A</v>
      </c>
      <c r="V18" cm="1">
        <f t="array" ref="V18:AD18">'Non staff expense form'!A47:I47</f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</row>
    <row r="19" spans="1:53" x14ac:dyDescent="0.2">
      <c r="A19" s="9" t="s">
        <v>53</v>
      </c>
      <c r="B19" s="28">
        <f>+'Non staff expense form'!AS48</f>
        <v>0</v>
      </c>
      <c r="C19" s="37">
        <f>+'Non staff expense form'!AR48</f>
        <v>0</v>
      </c>
      <c r="F19" t="str" cm="1">
        <f t="array" ref="F19:K19">'Non staff expense form'!K48:P48&amp;"."&amp;'Non staff expense form'!Q48:U48&amp;"."&amp;'Non staff expense form'!V48:Y48&amp;"."&amp;'Non staff expense form'!Z48:AB48&amp;"."&amp;'Non staff expense form'!AC48:AH48&amp;".00.000000"</f>
        <v>.....00.000000</v>
      </c>
      <c r="G19" s="23" t="str">
        <v>.....00.000000</v>
      </c>
      <c r="H19" s="23" t="str">
        <v>.....00.000000</v>
      </c>
      <c r="I19" s="23" t="e">
        <v>#N/A</v>
      </c>
      <c r="J19" s="23" t="e">
        <v>#N/A</v>
      </c>
      <c r="K19" s="23" t="e">
        <v>#N/A</v>
      </c>
      <c r="V19" cm="1">
        <f t="array" ref="V19:AD19">'Non staff expense form'!A48:I48</f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</row>
    <row r="20" spans="1:53" x14ac:dyDescent="0.2">
      <c r="A20" s="9" t="s">
        <v>54</v>
      </c>
      <c r="B20" s="28">
        <f>+'Non staff expense form'!AS49</f>
        <v>0</v>
      </c>
      <c r="C20" s="37">
        <f>+'Non staff expense form'!AR49</f>
        <v>0</v>
      </c>
      <c r="F20" t="str" cm="1">
        <f t="array" ref="F20:K20">'Non staff expense form'!K49:P49&amp;"."&amp;'Non staff expense form'!Q49:U49&amp;"."&amp;'Non staff expense form'!V49:Y49&amp;"."&amp;'Non staff expense form'!Z49:AB49&amp;"."&amp;'Non staff expense form'!AC49:AH49&amp;".00.000000"</f>
        <v>.....00.000000</v>
      </c>
      <c r="G20" s="23" t="str">
        <v>.....00.000000</v>
      </c>
      <c r="H20" s="23" t="str">
        <v>.....00.000000</v>
      </c>
      <c r="I20" s="23" t="e">
        <v>#N/A</v>
      </c>
      <c r="J20" s="23" t="e">
        <v>#N/A</v>
      </c>
      <c r="K20" s="23" t="e">
        <v>#N/A</v>
      </c>
      <c r="V20" cm="1">
        <f t="array" ref="V20:AD20">'Non staff expense form'!A49:I49</f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</row>
    <row r="21" spans="1:53" x14ac:dyDescent="0.2">
      <c r="A21" s="9" t="s">
        <v>55</v>
      </c>
      <c r="B21" s="28">
        <f>+'Non staff expense form'!AS50</f>
        <v>0</v>
      </c>
      <c r="C21" s="37">
        <f>+'Non staff expense form'!AR50</f>
        <v>0</v>
      </c>
      <c r="F21" t="str" cm="1">
        <f t="array" ref="F21:K21">'Non staff expense form'!K50:P50&amp;"."&amp;'Non staff expense form'!Q50:U50&amp;"."&amp;'Non staff expense form'!V50:Y50&amp;"."&amp;'Non staff expense form'!Z50:AB50&amp;"."&amp;'Non staff expense form'!AC50:AH50&amp;".00.000000"</f>
        <v>.....00.000000</v>
      </c>
      <c r="G21" s="23" t="str">
        <v>.....00.000000</v>
      </c>
      <c r="H21" s="23" t="str">
        <v>.....00.000000</v>
      </c>
      <c r="I21" s="23" t="e">
        <v>#N/A</v>
      </c>
      <c r="J21" s="23" t="e">
        <v>#N/A</v>
      </c>
      <c r="K21" s="23" t="e">
        <v>#N/A</v>
      </c>
      <c r="V21" cm="1">
        <f t="array" ref="V21:AD21">'Non staff expense form'!A50:I50</f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</row>
    <row r="22" spans="1:53" x14ac:dyDescent="0.2">
      <c r="A22" s="9" t="s">
        <v>56</v>
      </c>
      <c r="B22" s="28">
        <f>+'Non staff expense form'!AS51</f>
        <v>0</v>
      </c>
      <c r="C22" s="37">
        <f>+'Non staff expense form'!AR51</f>
        <v>0</v>
      </c>
      <c r="F22" t="str" cm="1">
        <f t="array" ref="F22:K22">'Non staff expense form'!K51:P51&amp;"."&amp;'Non staff expense form'!Q51:U51&amp;"."&amp;'Non staff expense form'!V51:Y51&amp;"."&amp;'Non staff expense form'!Z51:AB51&amp;"."&amp;'Non staff expense form'!AC51:AH51&amp;".00.000000"</f>
        <v>.....00.000000</v>
      </c>
      <c r="G22" s="23" t="str">
        <v>.....00.000000</v>
      </c>
      <c r="H22" s="23" t="str">
        <v>.....00.000000</v>
      </c>
      <c r="I22" s="23" t="e">
        <v>#N/A</v>
      </c>
      <c r="J22" s="23" t="e">
        <v>#N/A</v>
      </c>
      <c r="K22" s="23" t="e">
        <v>#N/A</v>
      </c>
      <c r="V22" cm="1">
        <f t="array" ref="V22:AD22">'Non staff expense form'!A51:I51</f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</row>
    <row r="23" spans="1:53" x14ac:dyDescent="0.2">
      <c r="A23" s="9" t="s">
        <v>68</v>
      </c>
      <c r="B23" s="28">
        <f>+'Non staff expense form'!AS52</f>
        <v>0</v>
      </c>
      <c r="C23" s="37">
        <f>+'Non staff expense form'!AR52</f>
        <v>0</v>
      </c>
      <c r="F23" t="str" cm="1">
        <f t="array" ref="F23:K23">'Non staff expense form'!K52:P52&amp;"."&amp;'Non staff expense form'!Q52:U52&amp;"."&amp;'Non staff expense form'!V52:Y52&amp;"."&amp;'Non staff expense form'!Z52:AB52&amp;"."&amp;'Non staff expense form'!AC52:AH52&amp;".00.000000"</f>
        <v>.....00.000000</v>
      </c>
      <c r="G23" s="23" t="str">
        <v>.....00.000000</v>
      </c>
      <c r="H23" s="23" t="str">
        <v>.....00.000000</v>
      </c>
      <c r="I23" s="23" t="e">
        <v>#N/A</v>
      </c>
      <c r="J23" s="23" t="e">
        <v>#N/A</v>
      </c>
      <c r="K23" s="23" t="e">
        <v>#N/A</v>
      </c>
      <c r="V23" cm="1">
        <f t="array" ref="V23:AD23">'Non staff expense form'!A52:I52</f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</row>
    <row r="24" spans="1:53" x14ac:dyDescent="0.2">
      <c r="A24" s="9" t="s">
        <v>69</v>
      </c>
      <c r="B24" s="28">
        <f>+'Non staff expense form'!AS53</f>
        <v>0</v>
      </c>
      <c r="C24" s="37">
        <f>+'Non staff expense form'!AR53</f>
        <v>0</v>
      </c>
      <c r="F24" t="str" cm="1">
        <f t="array" ref="F24:K24">'Non staff expense form'!K53:P53&amp;"."&amp;'Non staff expense form'!Q53:U53&amp;"."&amp;'Non staff expense form'!V53:Y53&amp;"."&amp;'Non staff expense form'!Z53:AB53&amp;"."&amp;'Non staff expense form'!AC53:AH53&amp;".00.000000"</f>
        <v>.....00.000000</v>
      </c>
      <c r="G24" s="23" t="str">
        <v>.....00.000000</v>
      </c>
      <c r="H24" s="23" t="str">
        <v>.....00.000000</v>
      </c>
      <c r="I24" s="23" t="e">
        <v>#N/A</v>
      </c>
      <c r="J24" s="23" t="e">
        <v>#N/A</v>
      </c>
      <c r="K24" s="23" t="e">
        <v>#N/A</v>
      </c>
      <c r="V24" cm="1">
        <f t="array" ref="V24:AD24">'Non staff expense form'!A53:I53</f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</row>
    <row r="25" spans="1:53" x14ac:dyDescent="0.2">
      <c r="A25" s="9" t="s">
        <v>70</v>
      </c>
      <c r="B25" s="28">
        <f>+'Non staff expense form'!AS54</f>
        <v>0</v>
      </c>
      <c r="C25" s="37">
        <f>+'Non staff expense form'!AR54</f>
        <v>0</v>
      </c>
      <c r="F25" t="str" cm="1">
        <f t="array" ref="F25:K25">'Non staff expense form'!K54:P54&amp;"."&amp;'Non staff expense form'!Q54:U54&amp;"."&amp;'Non staff expense form'!V54:Y54&amp;"."&amp;'Non staff expense form'!Z54:AB54&amp;"."&amp;'Non staff expense form'!AC54:AH54&amp;".00.000000"</f>
        <v>.....00.000000</v>
      </c>
      <c r="G25" s="23" t="str">
        <v>.....00.000000</v>
      </c>
      <c r="H25" s="23" t="str">
        <v>.....00.000000</v>
      </c>
      <c r="I25" s="23" t="e">
        <v>#N/A</v>
      </c>
      <c r="J25" s="23" t="e">
        <v>#N/A</v>
      </c>
      <c r="K25" s="23" t="e">
        <v>#N/A</v>
      </c>
      <c r="V25" cm="1">
        <f t="array" ref="V25:AD25">'Non staff expense form'!A54:I54</f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</row>
    <row r="26" spans="1:53" x14ac:dyDescent="0.2">
      <c r="A26" s="9" t="s">
        <v>71</v>
      </c>
      <c r="B26" s="28">
        <f>+'Non staff expense form'!AS55</f>
        <v>0</v>
      </c>
      <c r="C26" s="37">
        <f>+'Non staff expense form'!AR55</f>
        <v>0</v>
      </c>
      <c r="F26" t="str" cm="1">
        <f t="array" ref="F26:K26">'Non staff expense form'!K55:P55&amp;"."&amp;'Non staff expense form'!Q55:U55&amp;"."&amp;'Non staff expense form'!V55:Y55&amp;"."&amp;'Non staff expense form'!Z55:AB55&amp;"."&amp;'Non staff expense form'!AC55:AH55&amp;".00.000000"</f>
        <v>.....00.000000</v>
      </c>
      <c r="G26" s="23" t="str">
        <v>.....00.000000</v>
      </c>
      <c r="H26" s="23" t="str">
        <v>.....00.000000</v>
      </c>
      <c r="I26" s="23" t="e">
        <v>#N/A</v>
      </c>
      <c r="J26" s="23" t="e">
        <v>#N/A</v>
      </c>
      <c r="K26" s="23" t="e">
        <v>#N/A</v>
      </c>
      <c r="V26" cm="1">
        <f t="array" ref="V26:AD26">'Non staff expense form'!A55:I55</f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</row>
    <row r="27" spans="1:53" x14ac:dyDescent="0.2">
      <c r="A27" s="9" t="s">
        <v>72</v>
      </c>
      <c r="B27" s="28">
        <f>+'Non staff expense form'!AS56</f>
        <v>0</v>
      </c>
      <c r="C27" s="37">
        <f>+'Non staff expense form'!AR56</f>
        <v>0</v>
      </c>
      <c r="F27" t="str" cm="1">
        <f t="array" ref="F27:K27">'Non staff expense form'!K56:P56&amp;"."&amp;'Non staff expense form'!Q56:U56&amp;"."&amp;'Non staff expense form'!V56:Y56&amp;"."&amp;'Non staff expense form'!Z56:AB56&amp;"."&amp;'Non staff expense form'!AC56:AH56&amp;".00.000000"</f>
        <v>.....00.000000</v>
      </c>
      <c r="G27" s="23" t="str">
        <v>.....00.000000</v>
      </c>
      <c r="H27" s="23" t="str">
        <v>.....00.000000</v>
      </c>
      <c r="I27" s="23" t="e">
        <v>#N/A</v>
      </c>
      <c r="J27" s="23" t="e">
        <v>#N/A</v>
      </c>
      <c r="K27" s="23" t="e">
        <v>#N/A</v>
      </c>
      <c r="V27" cm="1">
        <f t="array" ref="V27:AD27">'Non staff expense form'!A56:I56</f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</row>
    <row r="28" spans="1:53" x14ac:dyDescent="0.2">
      <c r="A28" s="9"/>
      <c r="B28" s="27"/>
      <c r="AB28" s="23"/>
    </row>
    <row r="29" spans="1:53" x14ac:dyDescent="0.2">
      <c r="A29" s="18" t="s">
        <v>107</v>
      </c>
      <c r="B29" s="27"/>
      <c r="AB29" s="23"/>
    </row>
    <row r="30" spans="1:53" x14ac:dyDescent="0.2">
      <c r="A30" s="9"/>
      <c r="B30" s="27"/>
    </row>
    <row r="31" spans="1:53" x14ac:dyDescent="0.2">
      <c r="B31" s="26" t="s">
        <v>17</v>
      </c>
      <c r="C31" s="17" t="s">
        <v>85</v>
      </c>
      <c r="D31" s="31"/>
      <c r="E31" s="31"/>
      <c r="F31" s="17" t="s">
        <v>58</v>
      </c>
      <c r="G31" s="30"/>
      <c r="H31" s="30"/>
      <c r="I31" s="30"/>
      <c r="J31" s="30"/>
      <c r="K31" s="30"/>
      <c r="L31" s="31"/>
      <c r="V31" s="17" t="s">
        <v>81</v>
      </c>
      <c r="W31" s="30"/>
      <c r="X31" s="30"/>
      <c r="Y31" s="30"/>
      <c r="Z31" s="30"/>
      <c r="AA31" s="30"/>
      <c r="AB31" s="17" t="s">
        <v>82</v>
      </c>
      <c r="AC31" s="30"/>
      <c r="AD31" s="30"/>
      <c r="AE31" s="30"/>
      <c r="AF31" s="30"/>
      <c r="AG31" s="17" t="s">
        <v>83</v>
      </c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17" t="s">
        <v>84</v>
      </c>
      <c r="AT31" s="17"/>
    </row>
    <row r="32" spans="1:53" x14ac:dyDescent="0.2">
      <c r="A32" s="9" t="s">
        <v>47</v>
      </c>
      <c r="B32" s="28">
        <f>+'Non staff expense form'!AS59</f>
        <v>0</v>
      </c>
      <c r="C32" s="37">
        <f>+'Non staff expense form'!AR59</f>
        <v>0</v>
      </c>
      <c r="F32" cm="1">
        <f t="array" ref="F32:N32">+'Non staff expense form'!A59:I59</f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V32" cm="1">
        <f t="array" ref="V32:AA32">+'Non staff expense form'!K59:P59</f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cm="1">
        <f t="array" ref="AB32:AF32">+'Non staff expense form'!Q59:U59</f>
        <v>0</v>
      </c>
      <c r="AC32" s="23">
        <v>0</v>
      </c>
      <c r="AD32" s="23">
        <v>0</v>
      </c>
      <c r="AE32" s="23">
        <v>0</v>
      </c>
      <c r="AF32" s="23">
        <v>0</v>
      </c>
      <c r="AG32" cm="1">
        <f t="array" ref="AG32:AR32">+'Non staff expense form'!V59:AG59</f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cm="1">
        <f t="array" ref="AS32:BA32">+'Non staff expense form'!AH59:AP59</f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0</v>
      </c>
      <c r="AY32" s="23">
        <v>0</v>
      </c>
      <c r="AZ32" s="23">
        <v>0</v>
      </c>
      <c r="BA32" s="23">
        <v>0</v>
      </c>
    </row>
    <row r="33" spans="1:53" x14ac:dyDescent="0.2">
      <c r="A33" s="9" t="s">
        <v>48</v>
      </c>
      <c r="B33" s="28">
        <f>+'Non staff expense form'!AS60</f>
        <v>0</v>
      </c>
      <c r="C33" s="37">
        <f>+'Non staff expense form'!AR60</f>
        <v>0</v>
      </c>
      <c r="F33" cm="1">
        <f t="array" ref="F33:N33">+'Non staff expense form'!A60:I60</f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V33" cm="1">
        <f t="array" ref="V33:AA33">+'Non staff expense form'!K60:P60</f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cm="1">
        <f t="array" ref="AB33:AF33">+'Non staff expense form'!Q60:U60</f>
        <v>0</v>
      </c>
      <c r="AC33" s="23">
        <v>0</v>
      </c>
      <c r="AD33" s="23">
        <v>0</v>
      </c>
      <c r="AE33" s="23">
        <v>0</v>
      </c>
      <c r="AF33" s="23">
        <v>0</v>
      </c>
      <c r="AG33" cm="1">
        <f t="array" ref="AG33:AR33">+'Non staff expense form'!V60:AG60</f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cm="1">
        <f t="array" ref="AS33:BA33">+'Non staff expense form'!AH60:AP60</f>
        <v>0</v>
      </c>
      <c r="AT33">
        <v>0</v>
      </c>
      <c r="AU33" s="23">
        <v>0</v>
      </c>
      <c r="AV33" s="23">
        <v>0</v>
      </c>
      <c r="AW33" s="23">
        <v>0</v>
      </c>
      <c r="AX33" s="23">
        <v>0</v>
      </c>
      <c r="AY33" s="23">
        <v>0</v>
      </c>
      <c r="AZ33" s="23">
        <v>0</v>
      </c>
      <c r="BA33" s="23">
        <v>0</v>
      </c>
    </row>
    <row r="34" spans="1:53" x14ac:dyDescent="0.2">
      <c r="A34" s="9" t="s">
        <v>49</v>
      </c>
      <c r="B34" s="28">
        <f>+'Non staff expense form'!AS61</f>
        <v>0</v>
      </c>
      <c r="C34" s="37">
        <f>+'Non staff expense form'!AR61</f>
        <v>0</v>
      </c>
      <c r="F34" cm="1">
        <f t="array" ref="F34:N34">+'Non staff expense form'!A61:I61</f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V34" cm="1">
        <f t="array" ref="V34:AA34">+'Non staff expense form'!K61:P61</f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cm="1">
        <f t="array" ref="AB34:AF34">+'Non staff expense form'!Q61:U61</f>
        <v>0</v>
      </c>
      <c r="AC34" s="23">
        <v>0</v>
      </c>
      <c r="AD34" s="23">
        <v>0</v>
      </c>
      <c r="AE34" s="23">
        <v>0</v>
      </c>
      <c r="AF34" s="23">
        <v>0</v>
      </c>
      <c r="AG34" cm="1">
        <f t="array" ref="AG34:AR34">+'Non staff expense form'!V61:AG61</f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cm="1">
        <f t="array" ref="AS34:BA34">+'Non staff expense form'!AH61:AP61</f>
        <v>0</v>
      </c>
      <c r="AT34">
        <v>0</v>
      </c>
      <c r="AU34" s="23">
        <v>0</v>
      </c>
      <c r="AV34" s="23">
        <v>0</v>
      </c>
      <c r="AW34" s="23">
        <v>0</v>
      </c>
      <c r="AX34" s="23">
        <v>0</v>
      </c>
      <c r="AY34" s="23">
        <v>0</v>
      </c>
      <c r="AZ34" s="23">
        <v>0</v>
      </c>
      <c r="BA34" s="23">
        <v>0</v>
      </c>
    </row>
    <row r="35" spans="1:53" x14ac:dyDescent="0.2">
      <c r="A35" s="9" t="s">
        <v>50</v>
      </c>
      <c r="B35" s="28">
        <f>+'Non staff expense form'!AS62</f>
        <v>0</v>
      </c>
      <c r="C35" s="37">
        <f>+'Non staff expense form'!AR62</f>
        <v>0</v>
      </c>
      <c r="F35" cm="1">
        <f t="array" ref="F35:N35">+'Non staff expense form'!A62:I62</f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V35" cm="1">
        <f t="array" ref="V35:AA35">+'Non staff expense form'!K62:P62</f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cm="1">
        <f t="array" ref="AB35:AF35">+'Non staff expense form'!Q62:U62</f>
        <v>0</v>
      </c>
      <c r="AC35" s="23">
        <v>0</v>
      </c>
      <c r="AD35" s="23">
        <v>0</v>
      </c>
      <c r="AE35" s="23">
        <v>0</v>
      </c>
      <c r="AF35" s="23">
        <v>0</v>
      </c>
      <c r="AG35" cm="1">
        <f t="array" ref="AG35:AR35">+'Non staff expense form'!V62:AG62</f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cm="1">
        <f t="array" ref="AS35:BA35">+'Non staff expense form'!AH62:AP62</f>
        <v>0</v>
      </c>
      <c r="AT35">
        <v>0</v>
      </c>
      <c r="AU35" s="23">
        <v>0</v>
      </c>
      <c r="AV35" s="23">
        <v>0</v>
      </c>
      <c r="AW35" s="23">
        <v>0</v>
      </c>
      <c r="AX35" s="23">
        <v>0</v>
      </c>
      <c r="AY35" s="23">
        <v>0</v>
      </c>
      <c r="AZ35" s="23">
        <v>0</v>
      </c>
      <c r="BA35" s="23">
        <v>0</v>
      </c>
    </row>
    <row r="36" spans="1:53" x14ac:dyDescent="0.2">
      <c r="A36" s="9" t="s">
        <v>51</v>
      </c>
      <c r="B36" s="28">
        <f>+'Non staff expense form'!AS63</f>
        <v>0</v>
      </c>
      <c r="C36" s="37">
        <f>+'Non staff expense form'!AR63</f>
        <v>0</v>
      </c>
      <c r="F36" cm="1">
        <f t="array" ref="F36:N36">+'Non staff expense form'!A63:I63</f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V36" cm="1">
        <f t="array" ref="V36:AA36">+'Non staff expense form'!K63:P63</f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cm="1">
        <f t="array" ref="AB36:AF36">+'Non staff expense form'!Q63:U63</f>
        <v>0</v>
      </c>
      <c r="AC36" s="23">
        <v>0</v>
      </c>
      <c r="AD36" s="23">
        <v>0</v>
      </c>
      <c r="AE36" s="23">
        <v>0</v>
      </c>
      <c r="AF36" s="23">
        <v>0</v>
      </c>
      <c r="AG36" cm="1">
        <f t="array" ref="AG36:AR36">+'Non staff expense form'!V63:AG63</f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cm="1">
        <f t="array" ref="AS36:BA36">+'Non staff expense form'!AH63:AP63</f>
        <v>0</v>
      </c>
      <c r="AT36">
        <v>0</v>
      </c>
      <c r="AU36" s="23">
        <v>0</v>
      </c>
      <c r="AV36" s="23">
        <v>0</v>
      </c>
      <c r="AW36" s="23">
        <v>0</v>
      </c>
      <c r="AX36" s="23">
        <v>0</v>
      </c>
      <c r="AY36" s="23">
        <v>0</v>
      </c>
      <c r="AZ36" s="23">
        <v>0</v>
      </c>
      <c r="BA36" s="23">
        <v>0</v>
      </c>
    </row>
    <row r="37" spans="1:53" x14ac:dyDescent="0.2">
      <c r="A37" s="9" t="s">
        <v>52</v>
      </c>
      <c r="B37" s="28">
        <f>+'Non staff expense form'!AS64</f>
        <v>0</v>
      </c>
      <c r="C37" s="37">
        <f>+'Non staff expense form'!AR64</f>
        <v>0</v>
      </c>
      <c r="F37" cm="1">
        <f t="array" ref="F37:N37">+'Non staff expense form'!A64:I64</f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V37" cm="1">
        <f t="array" ref="V37:AA37">+'Non staff expense form'!K64:P64</f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cm="1">
        <f t="array" ref="AB37:AF37">+'Non staff expense form'!Q64:U64</f>
        <v>0</v>
      </c>
      <c r="AC37" s="23">
        <v>0</v>
      </c>
      <c r="AD37" s="23">
        <v>0</v>
      </c>
      <c r="AE37" s="23">
        <v>0</v>
      </c>
      <c r="AF37" s="23">
        <v>0</v>
      </c>
      <c r="AG37" cm="1">
        <f t="array" ref="AG37:AR37">+'Non staff expense form'!V64:AG64</f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cm="1">
        <f t="array" ref="AS37:BA37">+'Non staff expense form'!AH64:AP64</f>
        <v>0</v>
      </c>
      <c r="AT37">
        <v>0</v>
      </c>
      <c r="AU37" s="23">
        <v>0</v>
      </c>
      <c r="AV37" s="23">
        <v>0</v>
      </c>
      <c r="AW37" s="23">
        <v>0</v>
      </c>
      <c r="AX37" s="23">
        <v>0</v>
      </c>
      <c r="AY37" s="23">
        <v>0</v>
      </c>
      <c r="AZ37" s="23">
        <v>0</v>
      </c>
      <c r="BA37" s="23">
        <v>0</v>
      </c>
    </row>
    <row r="38" spans="1:53" x14ac:dyDescent="0.2">
      <c r="A38" s="9" t="s">
        <v>53</v>
      </c>
      <c r="B38" s="28">
        <f>+'Non staff expense form'!AS65</f>
        <v>0</v>
      </c>
      <c r="C38" s="37">
        <f>+'Non staff expense form'!AR65</f>
        <v>0</v>
      </c>
      <c r="F38" cm="1">
        <f t="array" ref="F38:N38">+'Non staff expense form'!A65:I65</f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V38" cm="1">
        <f t="array" ref="V38:AA38">+'Non staff expense form'!K65:P65</f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cm="1">
        <f t="array" ref="AB38:AF38">+'Non staff expense form'!Q65:U65</f>
        <v>0</v>
      </c>
      <c r="AC38" s="23">
        <v>0</v>
      </c>
      <c r="AD38" s="23">
        <v>0</v>
      </c>
      <c r="AE38" s="23">
        <v>0</v>
      </c>
      <c r="AF38" s="23">
        <v>0</v>
      </c>
      <c r="AG38" cm="1">
        <f t="array" ref="AG38:AR38">+'Non staff expense form'!V65:AG65</f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cm="1">
        <f t="array" ref="AS38:BA38">+'Non staff expense form'!AH65:AP65</f>
        <v>0</v>
      </c>
      <c r="AT38">
        <v>0</v>
      </c>
      <c r="AU38" s="23">
        <v>0</v>
      </c>
      <c r="AV38" s="23">
        <v>0</v>
      </c>
      <c r="AW38" s="23">
        <v>0</v>
      </c>
      <c r="AX38" s="23">
        <v>0</v>
      </c>
      <c r="AY38" s="23">
        <v>0</v>
      </c>
      <c r="AZ38" s="23">
        <v>0</v>
      </c>
      <c r="BA38" s="23">
        <v>0</v>
      </c>
    </row>
    <row r="39" spans="1:53" x14ac:dyDescent="0.2">
      <c r="A39" s="9" t="s">
        <v>54</v>
      </c>
      <c r="B39" s="28">
        <f>+'Non staff expense form'!AS66</f>
        <v>0</v>
      </c>
      <c r="C39" s="37">
        <f>+'Non staff expense form'!AR66</f>
        <v>0</v>
      </c>
      <c r="F39" cm="1">
        <f t="array" ref="F39:N39">+'Non staff expense form'!A66:I66</f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V39" cm="1">
        <f t="array" ref="V39:AA39">+'Non staff expense form'!K66:P66</f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cm="1">
        <f t="array" ref="AB39:AF39">+'Non staff expense form'!Q66:U66</f>
        <v>0</v>
      </c>
      <c r="AC39" s="23">
        <v>0</v>
      </c>
      <c r="AD39" s="23">
        <v>0</v>
      </c>
      <c r="AE39" s="23">
        <v>0</v>
      </c>
      <c r="AF39" s="23">
        <v>0</v>
      </c>
      <c r="AG39" cm="1">
        <f t="array" ref="AG39:AR39">+'Non staff expense form'!V66:AG66</f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cm="1">
        <f t="array" ref="AS39:BA39">+'Non staff expense form'!AH66:AP66</f>
        <v>0</v>
      </c>
      <c r="AT39">
        <v>0</v>
      </c>
      <c r="AU39" s="23">
        <v>0</v>
      </c>
      <c r="AV39" s="23">
        <v>0</v>
      </c>
      <c r="AW39" s="23">
        <v>0</v>
      </c>
      <c r="AX39" s="23">
        <v>0</v>
      </c>
      <c r="AY39" s="23">
        <v>0</v>
      </c>
      <c r="AZ39" s="23">
        <v>0</v>
      </c>
      <c r="BA39" s="23">
        <v>0</v>
      </c>
    </row>
    <row r="40" spans="1:53" x14ac:dyDescent="0.2">
      <c r="A40" s="9" t="s">
        <v>55</v>
      </c>
      <c r="B40" s="28">
        <f>+'Non staff expense form'!AS67</f>
        <v>0</v>
      </c>
      <c r="C40" s="37">
        <f>+'Non staff expense form'!AR67</f>
        <v>0</v>
      </c>
      <c r="F40" cm="1">
        <f t="array" ref="F40:N40">+'Non staff expense form'!A67:I67</f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V40" cm="1">
        <f t="array" ref="V40:AA40">+'Non staff expense form'!K67:P67</f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cm="1">
        <f t="array" ref="AB40:AF40">+'Non staff expense form'!Q67:U67</f>
        <v>0</v>
      </c>
      <c r="AC40" s="23">
        <v>0</v>
      </c>
      <c r="AD40" s="23">
        <v>0</v>
      </c>
      <c r="AE40" s="23">
        <v>0</v>
      </c>
      <c r="AF40" s="23">
        <v>0</v>
      </c>
      <c r="AG40" cm="1">
        <f t="array" ref="AG40:AR40">+'Non staff expense form'!V67:AG67</f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cm="1">
        <f t="array" ref="AS40:BA40">+'Non staff expense form'!AH67:AP67</f>
        <v>0</v>
      </c>
      <c r="AT40">
        <v>0</v>
      </c>
      <c r="AU40" s="23">
        <v>0</v>
      </c>
      <c r="AV40" s="23">
        <v>0</v>
      </c>
      <c r="AW40" s="23">
        <v>0</v>
      </c>
      <c r="AX40" s="23">
        <v>0</v>
      </c>
      <c r="AY40" s="23">
        <v>0</v>
      </c>
      <c r="AZ40" s="23">
        <v>0</v>
      </c>
      <c r="BA40" s="23">
        <v>0</v>
      </c>
    </row>
    <row r="41" spans="1:53" x14ac:dyDescent="0.2">
      <c r="A41" s="9" t="s">
        <v>56</v>
      </c>
      <c r="B41" s="28">
        <f>+'Non staff expense form'!AS68</f>
        <v>0</v>
      </c>
      <c r="C41" s="37">
        <f>+'Non staff expense form'!AR68</f>
        <v>0</v>
      </c>
      <c r="F41" cm="1">
        <f t="array" ref="F41:N41">+'Non staff expense form'!A68:I68</f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V41" cm="1">
        <f t="array" ref="V41:AA41">+'Non staff expense form'!K68:P68</f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cm="1">
        <f t="array" ref="AB41:AF41">+'Non staff expense form'!Q68:U68</f>
        <v>0</v>
      </c>
      <c r="AC41" s="23">
        <v>0</v>
      </c>
      <c r="AD41" s="23">
        <v>0</v>
      </c>
      <c r="AE41" s="23">
        <v>0</v>
      </c>
      <c r="AF41" s="23">
        <v>0</v>
      </c>
      <c r="AG41" cm="1">
        <f t="array" ref="AG41:AR41">+'Non staff expense form'!V68:AG68</f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cm="1">
        <f t="array" ref="AS41:BA41">+'Non staff expense form'!AH68:AP68</f>
        <v>0</v>
      </c>
      <c r="AT41">
        <v>0</v>
      </c>
      <c r="AU41" s="23">
        <v>0</v>
      </c>
      <c r="AV41" s="23">
        <v>0</v>
      </c>
      <c r="AW41" s="23">
        <v>0</v>
      </c>
      <c r="AX41" s="23">
        <v>0</v>
      </c>
      <c r="AY41" s="23">
        <v>0</v>
      </c>
      <c r="AZ41" s="23">
        <v>0</v>
      </c>
      <c r="BA41" s="23">
        <v>0</v>
      </c>
    </row>
    <row r="42" spans="1:53" x14ac:dyDescent="0.2">
      <c r="A42" s="9" t="s">
        <v>68</v>
      </c>
      <c r="B42" s="28">
        <f>+'Non staff expense form'!AS69</f>
        <v>0</v>
      </c>
      <c r="C42" s="37">
        <f>+'Non staff expense form'!AR69</f>
        <v>0</v>
      </c>
      <c r="F42" cm="1">
        <f t="array" ref="F42:N42">+'Non staff expense form'!A69:I69</f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V42" cm="1">
        <f t="array" ref="V42:AA42">+'Non staff expense form'!K69:P69</f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cm="1">
        <f t="array" ref="AB42:AF42">+'Non staff expense form'!Q69:U69</f>
        <v>0</v>
      </c>
      <c r="AC42" s="23">
        <v>0</v>
      </c>
      <c r="AD42" s="23">
        <v>0</v>
      </c>
      <c r="AE42" s="23">
        <v>0</v>
      </c>
      <c r="AF42" s="23">
        <v>0</v>
      </c>
      <c r="AG42" cm="1">
        <f t="array" ref="AG42:AR42">+'Non staff expense form'!V69:AG69</f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cm="1">
        <f t="array" ref="AS42:BA42">+'Non staff expense form'!AH69:AP69</f>
        <v>0</v>
      </c>
      <c r="AT42">
        <v>0</v>
      </c>
      <c r="AU42" s="23">
        <v>0</v>
      </c>
      <c r="AV42" s="23">
        <v>0</v>
      </c>
      <c r="AW42" s="23">
        <v>0</v>
      </c>
      <c r="AX42" s="23">
        <v>0</v>
      </c>
      <c r="AY42" s="23">
        <v>0</v>
      </c>
      <c r="AZ42" s="23">
        <v>0</v>
      </c>
      <c r="BA42" s="23">
        <v>0</v>
      </c>
    </row>
    <row r="43" spans="1:53" x14ac:dyDescent="0.2">
      <c r="A43" s="9" t="s">
        <v>69</v>
      </c>
      <c r="B43" s="28">
        <f>+'Non staff expense form'!AS70</f>
        <v>0</v>
      </c>
      <c r="C43" s="37">
        <f>+'Non staff expense form'!AR70</f>
        <v>0</v>
      </c>
      <c r="F43" cm="1">
        <f t="array" ref="F43:N43">+'Non staff expense form'!A70:I70</f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V43" cm="1">
        <f t="array" ref="V43:AA43">+'Non staff expense form'!K70:P70</f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cm="1">
        <f t="array" ref="AB43:AF43">+'Non staff expense form'!Q70:U70</f>
        <v>0</v>
      </c>
      <c r="AC43" s="23">
        <v>0</v>
      </c>
      <c r="AD43" s="23">
        <v>0</v>
      </c>
      <c r="AE43" s="23">
        <v>0</v>
      </c>
      <c r="AF43" s="23">
        <v>0</v>
      </c>
      <c r="AG43" cm="1">
        <f t="array" ref="AG43:AR43">+'Non staff expense form'!V70:AG70</f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cm="1">
        <f t="array" ref="AS43:BA43">+'Non staff expense form'!AH70:AP70</f>
        <v>0</v>
      </c>
      <c r="AT43">
        <v>0</v>
      </c>
      <c r="AU43" s="23">
        <v>0</v>
      </c>
      <c r="AV43" s="23">
        <v>0</v>
      </c>
      <c r="AW43" s="23">
        <v>0</v>
      </c>
      <c r="AX43" s="23">
        <v>0</v>
      </c>
      <c r="AY43" s="23">
        <v>0</v>
      </c>
      <c r="AZ43" s="23">
        <v>0</v>
      </c>
      <c r="BA43" s="23">
        <v>0</v>
      </c>
    </row>
    <row r="44" spans="1:53" x14ac:dyDescent="0.2">
      <c r="A44" s="9" t="s">
        <v>70</v>
      </c>
      <c r="B44" s="28">
        <f>+'Non staff expense form'!AS71</f>
        <v>0</v>
      </c>
      <c r="C44" s="37">
        <f>+'Non staff expense form'!AR71</f>
        <v>0</v>
      </c>
      <c r="F44" cm="1">
        <f t="array" ref="F44:N44">+'Non staff expense form'!A71:I71</f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V44" cm="1">
        <f t="array" ref="V44:AA44">+'Non staff expense form'!K71:P71</f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cm="1">
        <f t="array" ref="AB44:AF44">+'Non staff expense form'!Q71:U71</f>
        <v>0</v>
      </c>
      <c r="AC44" s="23">
        <v>0</v>
      </c>
      <c r="AD44" s="23">
        <v>0</v>
      </c>
      <c r="AE44" s="23">
        <v>0</v>
      </c>
      <c r="AF44" s="23">
        <v>0</v>
      </c>
      <c r="AG44" cm="1">
        <f t="array" ref="AG44:AR44">+'Non staff expense form'!V71:AG71</f>
        <v>0</v>
      </c>
      <c r="AH44" s="23">
        <v>0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cm="1">
        <f t="array" ref="AS44:BA44">+'Non staff expense form'!AH71:AP71</f>
        <v>0</v>
      </c>
      <c r="AT44">
        <v>0</v>
      </c>
      <c r="AU44" s="23">
        <v>0</v>
      </c>
      <c r="AV44" s="23">
        <v>0</v>
      </c>
      <c r="AW44" s="23">
        <v>0</v>
      </c>
      <c r="AX44" s="23">
        <v>0</v>
      </c>
      <c r="AY44" s="23">
        <v>0</v>
      </c>
      <c r="AZ44" s="23">
        <v>0</v>
      </c>
      <c r="BA44" s="23">
        <v>0</v>
      </c>
    </row>
    <row r="45" spans="1:53" x14ac:dyDescent="0.2">
      <c r="A45" s="9" t="s">
        <v>71</v>
      </c>
      <c r="B45" s="28">
        <f>+'Non staff expense form'!AS72</f>
        <v>0</v>
      </c>
      <c r="C45" s="37">
        <f>+'Non staff expense form'!AR72</f>
        <v>0</v>
      </c>
      <c r="F45" cm="1">
        <f t="array" ref="F45:N45">+'Non staff expense form'!A72:I72</f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V45" cm="1">
        <f t="array" ref="V45:AA45">+'Non staff expense form'!K72:P72</f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cm="1">
        <f t="array" ref="AB45:AF45">+'Non staff expense form'!Q72:U72</f>
        <v>0</v>
      </c>
      <c r="AC45" s="23">
        <v>0</v>
      </c>
      <c r="AD45" s="23">
        <v>0</v>
      </c>
      <c r="AE45" s="23">
        <v>0</v>
      </c>
      <c r="AF45" s="23">
        <v>0</v>
      </c>
      <c r="AG45" cm="1">
        <f t="array" ref="AG45:AR45">+'Non staff expense form'!V72:AG72</f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cm="1">
        <f t="array" ref="AS45:BA45">+'Non staff expense form'!AH72:AP72</f>
        <v>0</v>
      </c>
      <c r="AT45">
        <v>0</v>
      </c>
      <c r="AU45" s="23">
        <v>0</v>
      </c>
      <c r="AV45" s="23">
        <v>0</v>
      </c>
      <c r="AW45" s="23">
        <v>0</v>
      </c>
      <c r="AX45" s="23">
        <v>0</v>
      </c>
      <c r="AY45" s="23">
        <v>0</v>
      </c>
      <c r="AZ45" s="23">
        <v>0</v>
      </c>
      <c r="BA45" s="23">
        <v>0</v>
      </c>
    </row>
    <row r="46" spans="1:53" x14ac:dyDescent="0.2">
      <c r="A46" s="9" t="s">
        <v>72</v>
      </c>
      <c r="B46" s="28">
        <f>+'Non staff expense form'!AS73</f>
        <v>0</v>
      </c>
      <c r="C46" s="37">
        <f>+'Non staff expense form'!AR73</f>
        <v>0</v>
      </c>
      <c r="F46" cm="1">
        <f t="array" ref="F46:N46">+'Non staff expense form'!A73:I73</f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V46" cm="1">
        <f t="array" ref="V46:AA46">+'Non staff expense form'!K73:P73</f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cm="1">
        <f t="array" ref="AB46:AF46">+'Non staff expense form'!Q73:U73</f>
        <v>0</v>
      </c>
      <c r="AC46" s="23">
        <v>0</v>
      </c>
      <c r="AD46" s="23">
        <v>0</v>
      </c>
      <c r="AE46" s="23">
        <v>0</v>
      </c>
      <c r="AF46" s="23">
        <v>0</v>
      </c>
      <c r="AG46" cm="1">
        <f t="array" ref="AG46:AR46">+'Non staff expense form'!V73:AG73</f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cm="1">
        <f t="array" ref="AS46:BA46">+'Non staff expense form'!AH73:AP73</f>
        <v>0</v>
      </c>
      <c r="AT46">
        <v>0</v>
      </c>
      <c r="AU46" s="23">
        <v>0</v>
      </c>
      <c r="AV46" s="23">
        <v>0</v>
      </c>
      <c r="AW46" s="23">
        <v>0</v>
      </c>
      <c r="AX46" s="23">
        <v>0</v>
      </c>
      <c r="AY46" s="23">
        <v>0</v>
      </c>
      <c r="AZ46" s="23">
        <v>0</v>
      </c>
      <c r="BA46" s="23">
        <v>0</v>
      </c>
    </row>
    <row r="47" spans="1:53" x14ac:dyDescent="0.2">
      <c r="A47" s="9"/>
      <c r="B47" s="27"/>
    </row>
    <row r="49" spans="1:44" x14ac:dyDescent="0.2">
      <c r="A49" s="18" t="s">
        <v>106</v>
      </c>
    </row>
    <row r="51" spans="1:44" x14ac:dyDescent="0.2">
      <c r="A51" s="9" t="s">
        <v>66</v>
      </c>
      <c r="B51" s="24" t="str" cm="1">
        <f t="array" ref="B51:AR51">+'Non staff expense form'!C5:AS5&amp;" "&amp;'Non staff expense form'!C6:AS6</f>
        <v>FARAN ZAFAR</v>
      </c>
      <c r="C51" s="19" t="str">
        <v xml:space="preserve"> </v>
      </c>
      <c r="D51" s="23" t="str">
        <v xml:space="preserve"> </v>
      </c>
      <c r="E51" s="23" t="str">
        <v xml:space="preserve"> </v>
      </c>
      <c r="F51" t="str">
        <v xml:space="preserve"> </v>
      </c>
      <c r="G51" s="23" t="str">
        <v xml:space="preserve"> </v>
      </c>
      <c r="H51" s="23" t="str">
        <v xml:space="preserve"> </v>
      </c>
      <c r="I51" s="23" t="str">
        <v xml:space="preserve"> </v>
      </c>
      <c r="J51" s="23" t="str">
        <v xml:space="preserve"> </v>
      </c>
      <c r="K51" s="23" t="str">
        <v xml:space="preserve"> </v>
      </c>
      <c r="L51" s="23" t="str">
        <v xml:space="preserve"> </v>
      </c>
      <c r="M51" s="23" t="str">
        <v xml:space="preserve"> </v>
      </c>
      <c r="N51" s="23" t="str">
        <v xml:space="preserve"> </v>
      </c>
      <c r="O51" s="23" t="str">
        <v xml:space="preserve"> </v>
      </c>
      <c r="P51" s="23" t="str">
        <v xml:space="preserve"> </v>
      </c>
      <c r="Q51" s="23" t="str">
        <v xml:space="preserve"> </v>
      </c>
      <c r="R51" s="23" t="str">
        <v xml:space="preserve"> </v>
      </c>
      <c r="S51" s="23" t="str">
        <v xml:space="preserve"> </v>
      </c>
      <c r="T51" s="23" t="str">
        <v xml:space="preserve"> </v>
      </c>
      <c r="U51" s="23" t="str">
        <v xml:space="preserve"> </v>
      </c>
      <c r="V51" t="str">
        <v xml:space="preserve"> </v>
      </c>
      <c r="W51" s="23" t="str">
        <v xml:space="preserve"> </v>
      </c>
      <c r="X51" s="23" t="str">
        <v xml:space="preserve"> </v>
      </c>
      <c r="Y51" s="23" t="str">
        <v xml:space="preserve"> </v>
      </c>
      <c r="Z51" s="23" t="str">
        <v xml:space="preserve"> </v>
      </c>
      <c r="AA51" s="23" t="str">
        <v xml:space="preserve"> </v>
      </c>
      <c r="AB51" t="str">
        <v xml:space="preserve"> </v>
      </c>
      <c r="AC51" s="23" t="str">
        <v xml:space="preserve"> </v>
      </c>
      <c r="AD51" s="23" t="str">
        <v xml:space="preserve"> </v>
      </c>
      <c r="AE51" s="23" t="str">
        <v xml:space="preserve"> </v>
      </c>
      <c r="AF51" s="23" t="str">
        <v xml:space="preserve"> </v>
      </c>
      <c r="AG51" t="str">
        <v xml:space="preserve"> </v>
      </c>
      <c r="AH51" s="23" t="str">
        <v xml:space="preserve"> </v>
      </c>
      <c r="AI51" s="23" t="str">
        <v xml:space="preserve"> </v>
      </c>
      <c r="AJ51" s="23" t="str">
        <v xml:space="preserve"> </v>
      </c>
      <c r="AK51" s="23" t="str">
        <v xml:space="preserve"> </v>
      </c>
      <c r="AL51" s="23" t="str">
        <v xml:space="preserve"> </v>
      </c>
      <c r="AM51" s="23" t="str">
        <v xml:space="preserve"> </v>
      </c>
      <c r="AN51" s="23" t="str">
        <v xml:space="preserve"> </v>
      </c>
      <c r="AO51" s="23" t="str">
        <v xml:space="preserve"> </v>
      </c>
      <c r="AP51" s="23" t="str">
        <v xml:space="preserve"> </v>
      </c>
      <c r="AQ51" s="23" t="str">
        <v xml:space="preserve"> </v>
      </c>
      <c r="AR51" s="23" t="str">
        <v xml:space="preserve"> </v>
      </c>
    </row>
    <row r="52" spans="1:44" x14ac:dyDescent="0.2">
      <c r="A52" s="9" t="s">
        <v>59</v>
      </c>
      <c r="B52" s="24" t="str" cm="1">
        <f t="array" ref="B52:E52">'Non staff expense form'!C20&amp;'Non staff expense form'!D20:F20&amp;'Non staff expense form'!G20:J20&amp;'Non staff expense form'!K20:M20&amp;'Non staff expense form'!N20:P20&amp;'Non staff expense form'!Q20:R20&amp;'Non staff expense form'!S20:V20&amp;'Non staff expense form'!W20</f>
        <v>28489290</v>
      </c>
      <c r="C52" s="31" t="str">
        <v>20</v>
      </c>
      <c r="D52" s="23" t="e">
        <v>#N/A</v>
      </c>
      <c r="E52" s="23" t="e">
        <v>#N/A</v>
      </c>
    </row>
    <row r="53" spans="1:44" x14ac:dyDescent="0.2">
      <c r="A53" s="9" t="s">
        <v>60</v>
      </c>
      <c r="B53" s="24" t="str" cm="1">
        <f t="array" ref="B53:E53">'Non staff expense form'!C22&amp;'Non staff expense form'!D22:F22&amp;'Non staff expense form'!K22:M22&amp;'Non staff expense form'!N22:P22&amp;'Non staff expense form'!S22:V22&amp;'Non staff expense form'!W22</f>
        <v>070806</v>
      </c>
      <c r="C53" s="31" t="str">
        <v>06</v>
      </c>
      <c r="D53" s="23" t="str">
        <v>06</v>
      </c>
      <c r="E53" s="23" t="e">
        <v>#N/A</v>
      </c>
    </row>
    <row r="54" spans="1:44" x14ac:dyDescent="0.2">
      <c r="A54" s="9"/>
    </row>
    <row r="55" spans="1:44" x14ac:dyDescent="0.2">
      <c r="A55" s="18" t="s">
        <v>75</v>
      </c>
    </row>
    <row r="56" spans="1:44" x14ac:dyDescent="0.2">
      <c r="A56" s="18"/>
    </row>
    <row r="57" spans="1:44" x14ac:dyDescent="0.2">
      <c r="A57" s="9" t="s">
        <v>66</v>
      </c>
      <c r="B57" s="24" t="str" cm="1">
        <f t="array" ref="B57:AR57">+'Non staff expense form'!C5:AS5&amp;" "&amp;'Non staff expense form'!C6:AS6</f>
        <v>FARAN ZAFAR</v>
      </c>
      <c r="C57" s="19" t="str">
        <v xml:space="preserve"> </v>
      </c>
      <c r="D57" s="23" t="str">
        <v xml:space="preserve"> </v>
      </c>
      <c r="E57" s="23" t="str">
        <v xml:space="preserve"> </v>
      </c>
      <c r="F57" t="str">
        <v xml:space="preserve"> </v>
      </c>
      <c r="G57" s="23" t="str">
        <v xml:space="preserve"> </v>
      </c>
      <c r="H57" s="23" t="str">
        <v xml:space="preserve"> </v>
      </c>
      <c r="I57" s="23" t="str">
        <v xml:space="preserve"> </v>
      </c>
      <c r="J57" s="23" t="str">
        <v xml:space="preserve"> </v>
      </c>
      <c r="K57" s="23" t="str">
        <v xml:space="preserve"> </v>
      </c>
      <c r="L57" s="23" t="str">
        <v xml:space="preserve"> </v>
      </c>
      <c r="M57" s="23" t="str">
        <v xml:space="preserve"> </v>
      </c>
      <c r="N57" s="23" t="str">
        <v xml:space="preserve"> </v>
      </c>
      <c r="O57" s="23" t="str">
        <v xml:space="preserve"> </v>
      </c>
      <c r="P57" s="23" t="str">
        <v xml:space="preserve"> </v>
      </c>
      <c r="Q57" s="23" t="str">
        <v xml:space="preserve"> </v>
      </c>
      <c r="R57" s="23" t="str">
        <v xml:space="preserve"> </v>
      </c>
      <c r="S57" s="23" t="str">
        <v xml:space="preserve"> </v>
      </c>
      <c r="T57" s="23" t="str">
        <v xml:space="preserve"> </v>
      </c>
      <c r="U57" s="23" t="str">
        <v xml:space="preserve"> </v>
      </c>
      <c r="V57" t="str">
        <v xml:space="preserve"> </v>
      </c>
      <c r="W57" s="23" t="str">
        <v xml:space="preserve"> </v>
      </c>
      <c r="X57" s="23" t="str">
        <v xml:space="preserve"> </v>
      </c>
      <c r="Y57" s="23" t="str">
        <v xml:space="preserve"> </v>
      </c>
      <c r="Z57" s="23" t="str">
        <v xml:space="preserve"> </v>
      </c>
      <c r="AA57" s="23" t="str">
        <v xml:space="preserve"> </v>
      </c>
      <c r="AB57" t="str">
        <v xml:space="preserve"> </v>
      </c>
      <c r="AC57" s="23" t="str">
        <v xml:space="preserve"> </v>
      </c>
      <c r="AD57" s="23" t="str">
        <v xml:space="preserve"> </v>
      </c>
      <c r="AE57" s="23" t="str">
        <v xml:space="preserve"> </v>
      </c>
      <c r="AF57" s="23" t="str">
        <v xml:space="preserve"> </v>
      </c>
      <c r="AG57" t="str">
        <v xml:space="preserve"> </v>
      </c>
      <c r="AH57" s="23" t="str">
        <v xml:space="preserve"> </v>
      </c>
      <c r="AI57" s="23" t="str">
        <v xml:space="preserve"> </v>
      </c>
      <c r="AJ57" s="23" t="str">
        <v xml:space="preserve"> </v>
      </c>
      <c r="AK57" s="23" t="str">
        <v xml:space="preserve"> </v>
      </c>
      <c r="AL57" s="23" t="str">
        <v xml:space="preserve"> </v>
      </c>
      <c r="AM57" s="23" t="str">
        <v xml:space="preserve"> </v>
      </c>
      <c r="AN57" s="23" t="str">
        <v xml:space="preserve"> </v>
      </c>
      <c r="AO57" s="23" t="str">
        <v xml:space="preserve"> </v>
      </c>
      <c r="AP57" s="23" t="str">
        <v xml:space="preserve"> </v>
      </c>
      <c r="AQ57" s="23" t="str">
        <v xml:space="preserve"> </v>
      </c>
      <c r="AR57" s="23" t="str">
        <v xml:space="preserve"> </v>
      </c>
    </row>
    <row r="58" spans="1:44" x14ac:dyDescent="0.2">
      <c r="A58" s="9" t="s">
        <v>76</v>
      </c>
      <c r="B58" s="24" cm="1">
        <f t="array" ref="B58:AR58">+'Non staff expense form'!C28:AS28</f>
        <v>0</v>
      </c>
      <c r="C58" s="31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</row>
    <row r="59" spans="1:44" x14ac:dyDescent="0.2">
      <c r="A59" s="9" t="s">
        <v>77</v>
      </c>
      <c r="B59" s="24" cm="1">
        <f t="array" ref="B59:AR59">+'Non staff expense form'!C29:AS29</f>
        <v>0</v>
      </c>
      <c r="C59" s="31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</row>
    <row r="60" spans="1:44" x14ac:dyDescent="0.2">
      <c r="A60" s="9" t="s">
        <v>78</v>
      </c>
      <c r="B60" s="24" cm="1">
        <f t="array" ref="B60:AR60">+'Non staff expense form'!C30:AS30</f>
        <v>0</v>
      </c>
      <c r="C60" s="31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</row>
    <row r="61" spans="1:44" x14ac:dyDescent="0.2">
      <c r="A61" s="9" t="s">
        <v>79</v>
      </c>
      <c r="B61" s="24" cm="1">
        <f t="array" ref="B61:AR61">+'Non staff expense form'!C31:AS31</f>
        <v>0</v>
      </c>
      <c r="C61" s="31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</row>
    <row r="62" spans="1:44" x14ac:dyDescent="0.2">
      <c r="A62" t="s">
        <v>28</v>
      </c>
      <c r="B62" s="24" cm="1">
        <f t="array" ref="B62:AR62">+'Non staff expense form'!C33:AS33</f>
        <v>0</v>
      </c>
      <c r="C62" s="31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 t="str">
        <v xml:space="preserve">TRANSIT NUMBER 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</row>
    <row r="63" spans="1:44" x14ac:dyDescent="0.2">
      <c r="A63" s="9" t="s">
        <v>29</v>
      </c>
      <c r="B63" s="24" cm="1">
        <f t="array" ref="B63:AR63">+'Non staff expense form'!C34:AS34</f>
        <v>0</v>
      </c>
      <c r="C63" s="31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</row>
    <row r="65" spans="1:44" x14ac:dyDescent="0.2">
      <c r="A65" s="9" t="s">
        <v>316</v>
      </c>
      <c r="B65" s="24" t="str" cm="1">
        <f t="array" ref="B65:AR65">IF(LEN('Non staff expense form'!C33:Z33&amp;'Non staff expense form'!AN33:AS33&amp;'Non staff expense form'!C30:AS30)&lt;16, "0" &amp; 'Non staff expense form'!C33:Z33&amp;'Non staff expense form'!AN33:AS33&amp;'Non staff expense form'!C30:AS30, 'Non staff expense form'!C33:Z33&amp;'Non staff expense form'!AN33:AS33&amp;'Non staff expense form'!C30:AS30)</f>
        <v>0</v>
      </c>
      <c r="C65" s="31" t="str">
        <v>0</v>
      </c>
      <c r="D65" s="23" t="str">
        <v>0</v>
      </c>
      <c r="E65" s="23" t="str">
        <v>0</v>
      </c>
      <c r="F65" s="23" t="str">
        <v>0</v>
      </c>
      <c r="G65" s="23" t="str">
        <v>0</v>
      </c>
      <c r="H65" s="23" t="e">
        <v>#N/A</v>
      </c>
      <c r="I65" s="23" t="e">
        <v>#N/A</v>
      </c>
      <c r="J65" s="23" t="e">
        <v>#N/A</v>
      </c>
      <c r="K65" s="23" t="e">
        <v>#N/A</v>
      </c>
      <c r="L65" s="23" t="e">
        <v>#N/A</v>
      </c>
      <c r="M65" s="23" t="e">
        <v>#N/A</v>
      </c>
      <c r="N65" s="23" t="e">
        <v>#N/A</v>
      </c>
      <c r="O65" s="23" t="e">
        <v>#N/A</v>
      </c>
      <c r="P65" s="23" t="e">
        <v>#N/A</v>
      </c>
      <c r="Q65" s="23" t="e">
        <v>#N/A</v>
      </c>
      <c r="R65" s="23" t="e">
        <v>#N/A</v>
      </c>
      <c r="S65" s="23" t="e">
        <v>#N/A</v>
      </c>
      <c r="T65" s="23" t="e">
        <v>#N/A</v>
      </c>
      <c r="U65" s="23" t="e">
        <v>#N/A</v>
      </c>
      <c r="V65" s="23" t="e">
        <v>#N/A</v>
      </c>
      <c r="W65" s="23" t="e">
        <v>#N/A</v>
      </c>
      <c r="X65" s="23" t="e">
        <v>#N/A</v>
      </c>
      <c r="Y65" s="23" t="e">
        <v>#N/A</v>
      </c>
      <c r="Z65" s="23" t="e">
        <v>#N/A</v>
      </c>
      <c r="AA65" s="23" t="e">
        <v>#N/A</v>
      </c>
      <c r="AB65" s="23" t="e">
        <v>#N/A</v>
      </c>
      <c r="AC65" s="23" t="e">
        <v>#N/A</v>
      </c>
      <c r="AD65" s="23" t="e">
        <v>#N/A</v>
      </c>
      <c r="AE65" s="23" t="e">
        <v>#N/A</v>
      </c>
      <c r="AF65" s="23" t="e">
        <v>#N/A</v>
      </c>
      <c r="AG65" s="23" t="e">
        <v>#N/A</v>
      </c>
      <c r="AH65" s="23" t="e">
        <v>#N/A</v>
      </c>
      <c r="AI65" s="23" t="e">
        <v>#N/A</v>
      </c>
      <c r="AJ65" s="23" t="e">
        <v>#N/A</v>
      </c>
      <c r="AK65" s="23" t="e">
        <v>#N/A</v>
      </c>
      <c r="AL65" s="23" t="e">
        <v>#N/A</v>
      </c>
      <c r="AM65" s="23" t="e">
        <v>#N/A</v>
      </c>
      <c r="AN65" s="23" t="e">
        <v>#N/A</v>
      </c>
      <c r="AO65" s="23" t="e">
        <v>#N/A</v>
      </c>
      <c r="AP65" s="23" t="e">
        <v>#N/A</v>
      </c>
      <c r="AQ65" s="23" t="e">
        <v>#N/A</v>
      </c>
      <c r="AR65" s="23" t="e">
        <v>#N/A</v>
      </c>
    </row>
  </sheetData>
  <phoneticPr fontId="26" type="noConversion"/>
  <conditionalFormatting sqref="B2:B4">
    <cfRule type="expression" dxfId="0" priority="1">
      <formula>LEN($B$2)&gt;50</formula>
    </cfRule>
  </conditionalFormatting>
  <pageMargins left="0.7" right="0.7" top="0.75" bottom="0.75" header="0.3" footer="0.3"/>
  <ignoredErrors>
    <ignoredError sqref="D52 E52:E53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6B15-A04B-40DA-8FFC-FFAB8C3B19EB}">
  <dimension ref="A1:I122"/>
  <sheetViews>
    <sheetView workbookViewId="0"/>
  </sheetViews>
  <sheetFormatPr defaultRowHeight="12.75" x14ac:dyDescent="0.2"/>
  <cols>
    <col min="1" max="1" width="14" bestFit="1" customWidth="1"/>
    <col min="3" max="3" width="20.28515625" customWidth="1"/>
    <col min="5" max="5" width="18.28515625" bestFit="1" customWidth="1"/>
    <col min="7" max="7" width="39.85546875" bestFit="1" customWidth="1"/>
    <col min="9" max="9" width="50.140625" bestFit="1" customWidth="1"/>
  </cols>
  <sheetData>
    <row r="1" spans="1:9" s="18" customFormat="1" x14ac:dyDescent="0.2">
      <c r="A1" s="18" t="s">
        <v>189</v>
      </c>
      <c r="C1" s="18" t="s">
        <v>109</v>
      </c>
      <c r="E1" s="18" t="s">
        <v>110</v>
      </c>
      <c r="G1" s="18" t="s">
        <v>188</v>
      </c>
      <c r="I1" s="18" t="s">
        <v>190</v>
      </c>
    </row>
    <row r="2" spans="1:9" x14ac:dyDescent="0.2">
      <c r="A2" s="9" t="s">
        <v>40</v>
      </c>
      <c r="C2" s="9" t="s">
        <v>9</v>
      </c>
      <c r="E2" t="s">
        <v>9</v>
      </c>
      <c r="G2" t="s">
        <v>111</v>
      </c>
      <c r="I2" t="s">
        <v>191</v>
      </c>
    </row>
    <row r="3" spans="1:9" x14ac:dyDescent="0.2">
      <c r="A3" s="9" t="s">
        <v>42</v>
      </c>
      <c r="C3" s="9" t="s">
        <v>10</v>
      </c>
      <c r="E3" t="s">
        <v>10</v>
      </c>
      <c r="G3" t="s">
        <v>112</v>
      </c>
      <c r="I3" t="s">
        <v>192</v>
      </c>
    </row>
    <row r="4" spans="1:9" x14ac:dyDescent="0.2">
      <c r="A4" s="9" t="s">
        <v>41</v>
      </c>
      <c r="C4" s="9" t="s">
        <v>12</v>
      </c>
      <c r="E4" t="s">
        <v>12</v>
      </c>
      <c r="G4" t="s">
        <v>113</v>
      </c>
      <c r="I4" t="s">
        <v>193</v>
      </c>
    </row>
    <row r="5" spans="1:9" x14ac:dyDescent="0.2">
      <c r="C5" s="9" t="s">
        <v>11</v>
      </c>
      <c r="E5" t="s">
        <v>11</v>
      </c>
      <c r="G5" t="s">
        <v>114</v>
      </c>
      <c r="I5" t="s">
        <v>194</v>
      </c>
    </row>
    <row r="6" spans="1:9" x14ac:dyDescent="0.2">
      <c r="C6" s="9" t="s">
        <v>89</v>
      </c>
      <c r="E6" t="s">
        <v>88</v>
      </c>
      <c r="G6" t="s">
        <v>115</v>
      </c>
      <c r="I6" t="s">
        <v>195</v>
      </c>
    </row>
    <row r="7" spans="1:9" x14ac:dyDescent="0.2">
      <c r="C7" s="9" t="s">
        <v>88</v>
      </c>
      <c r="E7" t="s">
        <v>89</v>
      </c>
      <c r="G7" t="s">
        <v>116</v>
      </c>
      <c r="I7" t="s">
        <v>196</v>
      </c>
    </row>
    <row r="8" spans="1:9" x14ac:dyDescent="0.2">
      <c r="E8" t="s">
        <v>15</v>
      </c>
      <c r="G8" t="s">
        <v>117</v>
      </c>
      <c r="I8" t="s">
        <v>197</v>
      </c>
    </row>
    <row r="9" spans="1:9" x14ac:dyDescent="0.2">
      <c r="E9" t="s">
        <v>90</v>
      </c>
      <c r="G9" t="s">
        <v>118</v>
      </c>
      <c r="I9" t="s">
        <v>198</v>
      </c>
    </row>
    <row r="10" spans="1:9" x14ac:dyDescent="0.2">
      <c r="E10" t="s">
        <v>91</v>
      </c>
      <c r="G10" t="s">
        <v>119</v>
      </c>
      <c r="I10" t="s">
        <v>199</v>
      </c>
    </row>
    <row r="11" spans="1:9" x14ac:dyDescent="0.2">
      <c r="E11" t="s">
        <v>92</v>
      </c>
      <c r="G11" t="s">
        <v>120</v>
      </c>
      <c r="I11" t="s">
        <v>200</v>
      </c>
    </row>
    <row r="12" spans="1:9" x14ac:dyDescent="0.2">
      <c r="E12" t="s">
        <v>93</v>
      </c>
      <c r="G12" t="s">
        <v>121</v>
      </c>
      <c r="I12" t="s">
        <v>201</v>
      </c>
    </row>
    <row r="13" spans="1:9" x14ac:dyDescent="0.2">
      <c r="E13" t="s">
        <v>94</v>
      </c>
      <c r="G13" t="s">
        <v>122</v>
      </c>
      <c r="I13" t="s">
        <v>202</v>
      </c>
    </row>
    <row r="14" spans="1:9" x14ac:dyDescent="0.2">
      <c r="E14" t="s">
        <v>95</v>
      </c>
      <c r="G14" t="s">
        <v>123</v>
      </c>
      <c r="I14" t="s">
        <v>203</v>
      </c>
    </row>
    <row r="15" spans="1:9" x14ac:dyDescent="0.2">
      <c r="E15" t="s">
        <v>14</v>
      </c>
      <c r="G15" t="s">
        <v>124</v>
      </c>
      <c r="I15" t="s">
        <v>204</v>
      </c>
    </row>
    <row r="16" spans="1:9" x14ac:dyDescent="0.2">
      <c r="E16" t="s">
        <v>96</v>
      </c>
      <c r="G16" t="s">
        <v>125</v>
      </c>
      <c r="I16" t="s">
        <v>205</v>
      </c>
    </row>
    <row r="17" spans="5:9" x14ac:dyDescent="0.2">
      <c r="E17" t="s">
        <v>97</v>
      </c>
      <c r="G17" t="s">
        <v>126</v>
      </c>
      <c r="I17" t="s">
        <v>206</v>
      </c>
    </row>
    <row r="18" spans="5:9" x14ac:dyDescent="0.2">
      <c r="E18" t="s">
        <v>98</v>
      </c>
      <c r="G18" t="s">
        <v>127</v>
      </c>
      <c r="I18" t="s">
        <v>207</v>
      </c>
    </row>
    <row r="19" spans="5:9" x14ac:dyDescent="0.2">
      <c r="E19" t="s">
        <v>99</v>
      </c>
      <c r="G19" t="s">
        <v>128</v>
      </c>
      <c r="I19" t="s">
        <v>208</v>
      </c>
    </row>
    <row r="20" spans="5:9" x14ac:dyDescent="0.2">
      <c r="E20" t="s">
        <v>100</v>
      </c>
      <c r="G20" t="s">
        <v>129</v>
      </c>
      <c r="I20" t="s">
        <v>209</v>
      </c>
    </row>
    <row r="21" spans="5:9" x14ac:dyDescent="0.2">
      <c r="E21" t="s">
        <v>101</v>
      </c>
      <c r="G21" t="s">
        <v>130</v>
      </c>
      <c r="I21" t="s">
        <v>210</v>
      </c>
    </row>
    <row r="22" spans="5:9" x14ac:dyDescent="0.2">
      <c r="E22" t="s">
        <v>102</v>
      </c>
      <c r="G22" t="s">
        <v>131</v>
      </c>
      <c r="I22" t="s">
        <v>211</v>
      </c>
    </row>
    <row r="23" spans="5:9" x14ac:dyDescent="0.2">
      <c r="E23" t="s">
        <v>13</v>
      </c>
      <c r="G23" t="s">
        <v>132</v>
      </c>
      <c r="I23" t="s">
        <v>212</v>
      </c>
    </row>
    <row r="24" spans="5:9" x14ac:dyDescent="0.2">
      <c r="E24" t="s">
        <v>103</v>
      </c>
      <c r="G24" t="s">
        <v>133</v>
      </c>
      <c r="I24" t="s">
        <v>213</v>
      </c>
    </row>
    <row r="25" spans="5:9" x14ac:dyDescent="0.2">
      <c r="E25" t="s">
        <v>104</v>
      </c>
      <c r="G25" t="s">
        <v>134</v>
      </c>
      <c r="I25" t="s">
        <v>214</v>
      </c>
    </row>
    <row r="26" spans="5:9" x14ac:dyDescent="0.2">
      <c r="E26" t="s">
        <v>105</v>
      </c>
      <c r="G26" t="s">
        <v>135</v>
      </c>
      <c r="I26" t="s">
        <v>215</v>
      </c>
    </row>
    <row r="27" spans="5:9" x14ac:dyDescent="0.2">
      <c r="E27" t="s">
        <v>87</v>
      </c>
      <c r="G27" t="s">
        <v>136</v>
      </c>
      <c r="I27" t="s">
        <v>216</v>
      </c>
    </row>
    <row r="28" spans="5:9" x14ac:dyDescent="0.2">
      <c r="G28" t="s">
        <v>137</v>
      </c>
      <c r="I28" t="s">
        <v>217</v>
      </c>
    </row>
    <row r="29" spans="5:9" x14ac:dyDescent="0.2">
      <c r="G29" t="s">
        <v>138</v>
      </c>
      <c r="I29" t="s">
        <v>218</v>
      </c>
    </row>
    <row r="30" spans="5:9" x14ac:dyDescent="0.2">
      <c r="G30" t="s">
        <v>139</v>
      </c>
      <c r="I30" t="s">
        <v>219</v>
      </c>
    </row>
    <row r="31" spans="5:9" x14ac:dyDescent="0.2">
      <c r="G31" t="s">
        <v>140</v>
      </c>
      <c r="I31" t="s">
        <v>220</v>
      </c>
    </row>
    <row r="32" spans="5:9" x14ac:dyDescent="0.2">
      <c r="G32" t="s">
        <v>141</v>
      </c>
      <c r="I32" t="s">
        <v>221</v>
      </c>
    </row>
    <row r="33" spans="7:9" x14ac:dyDescent="0.2">
      <c r="G33" t="s">
        <v>142</v>
      </c>
      <c r="I33" t="s">
        <v>222</v>
      </c>
    </row>
    <row r="34" spans="7:9" x14ac:dyDescent="0.2">
      <c r="G34" t="s">
        <v>143</v>
      </c>
      <c r="I34" t="s">
        <v>223</v>
      </c>
    </row>
    <row r="35" spans="7:9" x14ac:dyDescent="0.2">
      <c r="G35" t="s">
        <v>144</v>
      </c>
      <c r="I35" t="s">
        <v>224</v>
      </c>
    </row>
    <row r="36" spans="7:9" x14ac:dyDescent="0.2">
      <c r="G36" t="s">
        <v>145</v>
      </c>
      <c r="I36" t="s">
        <v>225</v>
      </c>
    </row>
    <row r="37" spans="7:9" x14ac:dyDescent="0.2">
      <c r="G37" t="s">
        <v>146</v>
      </c>
      <c r="I37" t="s">
        <v>226</v>
      </c>
    </row>
    <row r="38" spans="7:9" x14ac:dyDescent="0.2">
      <c r="G38" t="s">
        <v>147</v>
      </c>
      <c r="I38" t="s">
        <v>227</v>
      </c>
    </row>
    <row r="39" spans="7:9" x14ac:dyDescent="0.2">
      <c r="G39" t="s">
        <v>148</v>
      </c>
      <c r="I39" t="s">
        <v>228</v>
      </c>
    </row>
    <row r="40" spans="7:9" x14ac:dyDescent="0.2">
      <c r="G40" t="s">
        <v>149</v>
      </c>
      <c r="I40" t="s">
        <v>229</v>
      </c>
    </row>
    <row r="41" spans="7:9" x14ac:dyDescent="0.2">
      <c r="G41" t="s">
        <v>150</v>
      </c>
      <c r="I41" t="s">
        <v>230</v>
      </c>
    </row>
    <row r="42" spans="7:9" x14ac:dyDescent="0.2">
      <c r="G42" t="s">
        <v>151</v>
      </c>
      <c r="I42" t="s">
        <v>231</v>
      </c>
    </row>
    <row r="43" spans="7:9" x14ac:dyDescent="0.2">
      <c r="G43" t="s">
        <v>152</v>
      </c>
      <c r="I43" t="s">
        <v>232</v>
      </c>
    </row>
    <row r="44" spans="7:9" x14ac:dyDescent="0.2">
      <c r="G44" t="s">
        <v>153</v>
      </c>
      <c r="I44" t="s">
        <v>233</v>
      </c>
    </row>
    <row r="45" spans="7:9" x14ac:dyDescent="0.2">
      <c r="G45" t="s">
        <v>154</v>
      </c>
      <c r="I45" t="s">
        <v>234</v>
      </c>
    </row>
    <row r="46" spans="7:9" x14ac:dyDescent="0.2">
      <c r="G46" t="s">
        <v>155</v>
      </c>
      <c r="I46" t="s">
        <v>235</v>
      </c>
    </row>
    <row r="47" spans="7:9" x14ac:dyDescent="0.2">
      <c r="G47" t="s">
        <v>156</v>
      </c>
      <c r="I47" t="s">
        <v>236</v>
      </c>
    </row>
    <row r="48" spans="7:9" x14ac:dyDescent="0.2">
      <c r="G48" t="s">
        <v>157</v>
      </c>
      <c r="I48" t="s">
        <v>237</v>
      </c>
    </row>
    <row r="49" spans="7:9" x14ac:dyDescent="0.2">
      <c r="G49" t="s">
        <v>158</v>
      </c>
      <c r="I49" t="s">
        <v>238</v>
      </c>
    </row>
    <row r="50" spans="7:9" x14ac:dyDescent="0.2">
      <c r="G50" t="s">
        <v>159</v>
      </c>
      <c r="I50" t="s">
        <v>239</v>
      </c>
    </row>
    <row r="51" spans="7:9" x14ac:dyDescent="0.2">
      <c r="G51" t="s">
        <v>160</v>
      </c>
      <c r="I51" t="s">
        <v>240</v>
      </c>
    </row>
    <row r="52" spans="7:9" x14ac:dyDescent="0.2">
      <c r="G52" t="s">
        <v>161</v>
      </c>
      <c r="I52" t="s">
        <v>241</v>
      </c>
    </row>
    <row r="53" spans="7:9" x14ac:dyDescent="0.2">
      <c r="G53" t="s">
        <v>162</v>
      </c>
      <c r="I53" t="s">
        <v>242</v>
      </c>
    </row>
    <row r="54" spans="7:9" x14ac:dyDescent="0.2">
      <c r="G54" t="s">
        <v>163</v>
      </c>
      <c r="I54" t="s">
        <v>243</v>
      </c>
    </row>
    <row r="55" spans="7:9" x14ac:dyDescent="0.2">
      <c r="G55" t="s">
        <v>164</v>
      </c>
      <c r="I55" t="s">
        <v>244</v>
      </c>
    </row>
    <row r="56" spans="7:9" x14ac:dyDescent="0.2">
      <c r="G56" t="s">
        <v>165</v>
      </c>
      <c r="I56" t="s">
        <v>245</v>
      </c>
    </row>
    <row r="57" spans="7:9" x14ac:dyDescent="0.2">
      <c r="G57" t="s">
        <v>166</v>
      </c>
      <c r="I57" t="s">
        <v>246</v>
      </c>
    </row>
    <row r="58" spans="7:9" x14ac:dyDescent="0.2">
      <c r="G58" t="s">
        <v>167</v>
      </c>
      <c r="I58" t="s">
        <v>247</v>
      </c>
    </row>
    <row r="59" spans="7:9" x14ac:dyDescent="0.2">
      <c r="G59" t="s">
        <v>168</v>
      </c>
      <c r="I59" t="s">
        <v>248</v>
      </c>
    </row>
    <row r="60" spans="7:9" x14ac:dyDescent="0.2">
      <c r="G60" t="s">
        <v>169</v>
      </c>
      <c r="I60" t="s">
        <v>249</v>
      </c>
    </row>
    <row r="61" spans="7:9" x14ac:dyDescent="0.2">
      <c r="G61" t="s">
        <v>170</v>
      </c>
      <c r="I61" t="s">
        <v>250</v>
      </c>
    </row>
    <row r="62" spans="7:9" x14ac:dyDescent="0.2">
      <c r="G62" t="s">
        <v>171</v>
      </c>
      <c r="I62" t="s">
        <v>251</v>
      </c>
    </row>
    <row r="63" spans="7:9" x14ac:dyDescent="0.2">
      <c r="G63" t="s">
        <v>172</v>
      </c>
      <c r="I63" t="s">
        <v>252</v>
      </c>
    </row>
    <row r="64" spans="7:9" x14ac:dyDescent="0.2">
      <c r="G64" t="s">
        <v>173</v>
      </c>
      <c r="I64" t="s">
        <v>253</v>
      </c>
    </row>
    <row r="65" spans="7:9" x14ac:dyDescent="0.2">
      <c r="G65" t="s">
        <v>174</v>
      </c>
      <c r="I65" t="s">
        <v>254</v>
      </c>
    </row>
    <row r="66" spans="7:9" x14ac:dyDescent="0.2">
      <c r="G66" t="s">
        <v>175</v>
      </c>
      <c r="I66" t="s">
        <v>255</v>
      </c>
    </row>
    <row r="67" spans="7:9" x14ac:dyDescent="0.2">
      <c r="G67" t="s">
        <v>176</v>
      </c>
      <c r="I67" t="s">
        <v>256</v>
      </c>
    </row>
    <row r="68" spans="7:9" x14ac:dyDescent="0.2">
      <c r="G68" t="s">
        <v>177</v>
      </c>
      <c r="I68" t="s">
        <v>257</v>
      </c>
    </row>
    <row r="69" spans="7:9" x14ac:dyDescent="0.2">
      <c r="G69" t="s">
        <v>178</v>
      </c>
      <c r="I69" t="s">
        <v>258</v>
      </c>
    </row>
    <row r="70" spans="7:9" x14ac:dyDescent="0.2">
      <c r="G70" t="s">
        <v>179</v>
      </c>
      <c r="I70" t="s">
        <v>259</v>
      </c>
    </row>
    <row r="71" spans="7:9" x14ac:dyDescent="0.2">
      <c r="G71" t="s">
        <v>180</v>
      </c>
      <c r="I71" t="s">
        <v>260</v>
      </c>
    </row>
    <row r="72" spans="7:9" x14ac:dyDescent="0.2">
      <c r="G72" t="s">
        <v>181</v>
      </c>
      <c r="I72" t="s">
        <v>261</v>
      </c>
    </row>
    <row r="73" spans="7:9" x14ac:dyDescent="0.2">
      <c r="G73" t="s">
        <v>182</v>
      </c>
      <c r="I73" t="s">
        <v>262</v>
      </c>
    </row>
    <row r="74" spans="7:9" x14ac:dyDescent="0.2">
      <c r="G74" t="s">
        <v>183</v>
      </c>
      <c r="I74" t="s">
        <v>263</v>
      </c>
    </row>
    <row r="75" spans="7:9" x14ac:dyDescent="0.2">
      <c r="G75" t="s">
        <v>184</v>
      </c>
      <c r="I75" t="s">
        <v>264</v>
      </c>
    </row>
    <row r="76" spans="7:9" x14ac:dyDescent="0.2">
      <c r="G76" t="s">
        <v>185</v>
      </c>
      <c r="I76" t="s">
        <v>265</v>
      </c>
    </row>
    <row r="77" spans="7:9" x14ac:dyDescent="0.2">
      <c r="G77" t="s">
        <v>186</v>
      </c>
      <c r="I77" t="s">
        <v>266</v>
      </c>
    </row>
    <row r="78" spans="7:9" x14ac:dyDescent="0.2">
      <c r="G78" t="s">
        <v>187</v>
      </c>
      <c r="I78" t="s">
        <v>267</v>
      </c>
    </row>
    <row r="79" spans="7:9" x14ac:dyDescent="0.2">
      <c r="I79" t="s">
        <v>268</v>
      </c>
    </row>
    <row r="80" spans="7:9" x14ac:dyDescent="0.2">
      <c r="I80" t="s">
        <v>269</v>
      </c>
    </row>
    <row r="81" spans="9:9" x14ac:dyDescent="0.2">
      <c r="I81" t="s">
        <v>270</v>
      </c>
    </row>
    <row r="82" spans="9:9" x14ac:dyDescent="0.2">
      <c r="I82" t="s">
        <v>271</v>
      </c>
    </row>
    <row r="83" spans="9:9" x14ac:dyDescent="0.2">
      <c r="I83" t="s">
        <v>272</v>
      </c>
    </row>
    <row r="84" spans="9:9" x14ac:dyDescent="0.2">
      <c r="I84" t="s">
        <v>273</v>
      </c>
    </row>
    <row r="85" spans="9:9" x14ac:dyDescent="0.2">
      <c r="I85" t="s">
        <v>274</v>
      </c>
    </row>
    <row r="86" spans="9:9" x14ac:dyDescent="0.2">
      <c r="I86" t="s">
        <v>275</v>
      </c>
    </row>
    <row r="87" spans="9:9" x14ac:dyDescent="0.2">
      <c r="I87" t="s">
        <v>276</v>
      </c>
    </row>
    <row r="88" spans="9:9" x14ac:dyDescent="0.2">
      <c r="I88" t="s">
        <v>277</v>
      </c>
    </row>
    <row r="89" spans="9:9" x14ac:dyDescent="0.2">
      <c r="I89" t="s">
        <v>278</v>
      </c>
    </row>
    <row r="90" spans="9:9" x14ac:dyDescent="0.2">
      <c r="I90" t="s">
        <v>279</v>
      </c>
    </row>
    <row r="91" spans="9:9" x14ac:dyDescent="0.2">
      <c r="I91" t="s">
        <v>280</v>
      </c>
    </row>
    <row r="92" spans="9:9" x14ac:dyDescent="0.2">
      <c r="I92" t="s">
        <v>281</v>
      </c>
    </row>
    <row r="93" spans="9:9" x14ac:dyDescent="0.2">
      <c r="I93" t="s">
        <v>282</v>
      </c>
    </row>
    <row r="94" spans="9:9" x14ac:dyDescent="0.2">
      <c r="I94" t="s">
        <v>283</v>
      </c>
    </row>
    <row r="95" spans="9:9" x14ac:dyDescent="0.2">
      <c r="I95" t="s">
        <v>284</v>
      </c>
    </row>
    <row r="96" spans="9:9" x14ac:dyDescent="0.2">
      <c r="I96" t="s">
        <v>285</v>
      </c>
    </row>
    <row r="97" spans="9:9" x14ac:dyDescent="0.2">
      <c r="I97" t="s">
        <v>286</v>
      </c>
    </row>
    <row r="98" spans="9:9" x14ac:dyDescent="0.2">
      <c r="I98" t="s">
        <v>287</v>
      </c>
    </row>
    <row r="99" spans="9:9" x14ac:dyDescent="0.2">
      <c r="I99" t="s">
        <v>288</v>
      </c>
    </row>
    <row r="100" spans="9:9" x14ac:dyDescent="0.2">
      <c r="I100" t="s">
        <v>289</v>
      </c>
    </row>
    <row r="101" spans="9:9" x14ac:dyDescent="0.2">
      <c r="I101" t="s">
        <v>290</v>
      </c>
    </row>
    <row r="102" spans="9:9" x14ac:dyDescent="0.2">
      <c r="I102" t="s">
        <v>291</v>
      </c>
    </row>
    <row r="103" spans="9:9" x14ac:dyDescent="0.2">
      <c r="I103" t="s">
        <v>292</v>
      </c>
    </row>
    <row r="104" spans="9:9" x14ac:dyDescent="0.2">
      <c r="I104" t="s">
        <v>293</v>
      </c>
    </row>
    <row r="105" spans="9:9" x14ac:dyDescent="0.2">
      <c r="I105" t="s">
        <v>294</v>
      </c>
    </row>
    <row r="106" spans="9:9" x14ac:dyDescent="0.2">
      <c r="I106" t="s">
        <v>295</v>
      </c>
    </row>
    <row r="107" spans="9:9" x14ac:dyDescent="0.2">
      <c r="I107" t="s">
        <v>296</v>
      </c>
    </row>
    <row r="108" spans="9:9" x14ac:dyDescent="0.2">
      <c r="I108" t="s">
        <v>297</v>
      </c>
    </row>
    <row r="109" spans="9:9" x14ac:dyDescent="0.2">
      <c r="I109" t="s">
        <v>298</v>
      </c>
    </row>
    <row r="110" spans="9:9" x14ac:dyDescent="0.2">
      <c r="I110" t="s">
        <v>299</v>
      </c>
    </row>
    <row r="111" spans="9:9" x14ac:dyDescent="0.2">
      <c r="I111" t="s">
        <v>300</v>
      </c>
    </row>
    <row r="112" spans="9:9" x14ac:dyDescent="0.2">
      <c r="I112" t="s">
        <v>301</v>
      </c>
    </row>
    <row r="113" spans="9:9" x14ac:dyDescent="0.2">
      <c r="I113" t="s">
        <v>302</v>
      </c>
    </row>
    <row r="114" spans="9:9" x14ac:dyDescent="0.2">
      <c r="I114" t="s">
        <v>303</v>
      </c>
    </row>
    <row r="115" spans="9:9" x14ac:dyDescent="0.2">
      <c r="I115" t="s">
        <v>304</v>
      </c>
    </row>
    <row r="116" spans="9:9" x14ac:dyDescent="0.2">
      <c r="I116" t="s">
        <v>305</v>
      </c>
    </row>
    <row r="117" spans="9:9" x14ac:dyDescent="0.2">
      <c r="I117" t="s">
        <v>306</v>
      </c>
    </row>
    <row r="118" spans="9:9" x14ac:dyDescent="0.2">
      <c r="I118" t="s">
        <v>307</v>
      </c>
    </row>
    <row r="119" spans="9:9" x14ac:dyDescent="0.2">
      <c r="I119" t="s">
        <v>308</v>
      </c>
    </row>
    <row r="120" spans="9:9" x14ac:dyDescent="0.2">
      <c r="I120" t="s">
        <v>309</v>
      </c>
    </row>
    <row r="121" spans="9:9" x14ac:dyDescent="0.2">
      <c r="I121" t="s">
        <v>310</v>
      </c>
    </row>
    <row r="122" spans="9:9" x14ac:dyDescent="0.2">
      <c r="I122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Non staff expense form</vt:lpstr>
      <vt:lpstr>Translator</vt:lpstr>
      <vt:lpstr>Dropdown menu</vt:lpstr>
      <vt:lpstr>'Non staff expense form'!Print_Area</vt:lpstr>
    </vt:vector>
  </TitlesOfParts>
  <Company>UCL MSD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uczielm</dc:creator>
  <cp:lastModifiedBy>Faran Zafar (Student)</cp:lastModifiedBy>
  <cp:lastPrinted>2024-02-16T15:27:43Z</cp:lastPrinted>
  <dcterms:created xsi:type="dcterms:W3CDTF">2009-10-16T15:15:44Z</dcterms:created>
  <dcterms:modified xsi:type="dcterms:W3CDTF">2024-07-12T06:02:54Z</dcterms:modified>
</cp:coreProperties>
</file>